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_\Downloads\"/>
    </mc:Choice>
  </mc:AlternateContent>
  <xr:revisionPtr revIDLastSave="0" documentId="13_ncr:1_{6FEBCDB7-0B44-4419-9C48-A41810BE89B4}" xr6:coauthVersionLast="47" xr6:coauthVersionMax="47" xr10:uidLastSave="{00000000-0000-0000-0000-000000000000}"/>
  <bookViews>
    <workbookView xWindow="0" yWindow="360" windowWidth="19420" windowHeight="10300" firstSheet="1" activeTab="2" xr2:uid="{389B3444-B838-47F7-8A65-1019B173FBF5}"/>
  </bookViews>
  <sheets>
    <sheet name="Bank Statement " sheetId="1" r:id="rId1"/>
    <sheet name="General Ledger" sheetId="2" r:id="rId2"/>
    <sheet name="BankData" sheetId="8" r:id="rId3"/>
    <sheet name="GLData" sheetId="9" r:id="rId4"/>
    <sheet name="Reconciliation" sheetId="3" r:id="rId5"/>
    <sheet name="Exceptions" sheetId="4" r:id="rId6"/>
    <sheet name="Management Summary " sheetId="7" r:id="rId7"/>
  </sheets>
  <definedNames>
    <definedName name="ExternalData_1" localSheetId="2" hidden="1">BankData!$A$1:$M$17</definedName>
    <definedName name="ExternalData_1" localSheetId="3" hidden="1">GLData!$A$1:$F$15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7" l="1"/>
  <c r="B10" i="7"/>
  <c r="B9" i="7"/>
  <c r="B8" i="7"/>
  <c r="B7" i="7"/>
  <c r="B6" i="7"/>
  <c r="B5" i="7"/>
  <c r="B4" i="7"/>
  <c r="B3" i="7"/>
  <c r="F2" i="4"/>
  <c r="F3" i="4"/>
  <c r="F4" i="4"/>
  <c r="F5" i="4"/>
  <c r="E3" i="4"/>
  <c r="D3" i="4"/>
  <c r="D4" i="4"/>
  <c r="D5" i="4"/>
  <c r="D2" i="4"/>
  <c r="C3" i="4"/>
  <c r="C4" i="4"/>
  <c r="C5" i="4"/>
  <c r="C2" i="4"/>
  <c r="B3" i="4"/>
  <c r="B4" i="4"/>
  <c r="B5" i="4"/>
  <c r="B2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2" i="3"/>
  <c r="F11" i="3"/>
  <c r="F12" i="3"/>
  <c r="F13" i="3"/>
  <c r="F14" i="3"/>
  <c r="F15" i="3"/>
  <c r="F16" i="3"/>
  <c r="F17" i="3"/>
  <c r="E5" i="4" s="1"/>
  <c r="D17" i="3"/>
  <c r="E17" i="3" s="1"/>
  <c r="F9" i="3"/>
  <c r="E5" i="3"/>
  <c r="E9" i="3"/>
  <c r="E13" i="3"/>
  <c r="E2" i="3"/>
  <c r="D5" i="3"/>
  <c r="D6" i="3"/>
  <c r="E6" i="3" s="1"/>
  <c r="D9" i="3"/>
  <c r="D10" i="3"/>
  <c r="E10" i="3" s="1"/>
  <c r="D13" i="3"/>
  <c r="D14" i="3"/>
  <c r="E14" i="3" s="1"/>
  <c r="D2" i="3"/>
  <c r="C3" i="3"/>
  <c r="C4" i="3"/>
  <c r="C5" i="3"/>
  <c r="C6" i="3"/>
  <c r="C7" i="3"/>
  <c r="F7" i="3" s="1"/>
  <c r="C8" i="3"/>
  <c r="C9" i="3"/>
  <c r="C10" i="3"/>
  <c r="C11" i="3"/>
  <c r="C12" i="3"/>
  <c r="C13" i="3"/>
  <c r="C14" i="3"/>
  <c r="C15" i="3"/>
  <c r="C16" i="3"/>
  <c r="C2" i="3"/>
  <c r="B3" i="3"/>
  <c r="F3" i="3" s="1"/>
  <c r="B4" i="3"/>
  <c r="F4" i="3" s="1"/>
  <c r="E2" i="4" s="1"/>
  <c r="B5" i="3"/>
  <c r="F5" i="3" s="1"/>
  <c r="B6" i="3"/>
  <c r="F6" i="3" s="1"/>
  <c r="B7" i="3"/>
  <c r="D7" i="3" s="1"/>
  <c r="E7" i="3" s="1"/>
  <c r="B8" i="3"/>
  <c r="F8" i="3" s="1"/>
  <c r="B9" i="3"/>
  <c r="B10" i="3"/>
  <c r="F10" i="3" s="1"/>
  <c r="E4" i="4" s="1"/>
  <c r="B11" i="3"/>
  <c r="D11" i="3" s="1"/>
  <c r="E11" i="3" s="1"/>
  <c r="B12" i="3"/>
  <c r="D12" i="3" s="1"/>
  <c r="E12" i="3" s="1"/>
  <c r="B13" i="3"/>
  <c r="B14" i="3"/>
  <c r="B15" i="3"/>
  <c r="D15" i="3" s="1"/>
  <c r="E15" i="3" s="1"/>
  <c r="B16" i="3"/>
  <c r="D16" i="3" s="1"/>
  <c r="E16" i="3" s="1"/>
  <c r="B2" i="3"/>
  <c r="F2" i="3" s="1"/>
  <c r="D8" i="3" l="1"/>
  <c r="E8" i="3" s="1"/>
  <c r="D4" i="3"/>
  <c r="E4" i="3" s="1"/>
  <c r="D3" i="3"/>
  <c r="E3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C187BA-BB50-42D2-9460-BF97C56CBE25}" keepAlive="1" name="Query - BankData" description="Connection to the 'BankData' query in the workbook." type="5" refreshedVersion="8" background="1" saveData="1">
    <dbPr connection="Provider=Microsoft.Mashup.OleDb.1;Data Source=$Workbook$;Location=BankData;Extended Properties=&quot;&quot;" command="SELECT * FROM [BankData]"/>
  </connection>
  <connection id="2" xr16:uid="{C44CE304-0B14-4BD0-8762-A135ED239A6C}" keepAlive="1" name="Query - GLData" description="Connection to the 'GLData' query in the workbook." type="5" refreshedVersion="8" background="1" saveData="1">
    <dbPr connection="Provider=Microsoft.Mashup.OleDb.1;Data Source=$Workbook$;Location=GLData;Extended Properties=&quot;&quot;" command="SELECT * FROM [GLData]"/>
  </connection>
</connections>
</file>

<file path=xl/sharedStrings.xml><?xml version="1.0" encoding="utf-8"?>
<sst xmlns="http://schemas.openxmlformats.org/spreadsheetml/2006/main" count="341" uniqueCount="99">
  <si>
    <t>Date</t>
  </si>
  <si>
    <t>Account</t>
  </si>
  <si>
    <t>Description</t>
  </si>
  <si>
    <t>Reference</t>
  </si>
  <si>
    <t>Amount</t>
  </si>
  <si>
    <t>Transaction ID</t>
  </si>
  <si>
    <t>Debit</t>
  </si>
  <si>
    <t>Credit</t>
  </si>
  <si>
    <t>GL ID</t>
  </si>
  <si>
    <t xml:space="preserve">Reference </t>
  </si>
  <si>
    <t>B001</t>
  </si>
  <si>
    <t>Customer Receipt</t>
  </si>
  <si>
    <t>INV1001</t>
  </si>
  <si>
    <t>B002</t>
  </si>
  <si>
    <t>Rent Payment</t>
  </si>
  <si>
    <t>RENT0901</t>
  </si>
  <si>
    <t>B003</t>
  </si>
  <si>
    <t>Bank Charges</t>
  </si>
  <si>
    <t>CHG0901</t>
  </si>
  <si>
    <t>B004</t>
  </si>
  <si>
    <t>INV1002</t>
  </si>
  <si>
    <t>B005</t>
  </si>
  <si>
    <t>Office Supplies</t>
  </si>
  <si>
    <t>OFF0901</t>
  </si>
  <si>
    <t>B006</t>
  </si>
  <si>
    <t>INV1003</t>
  </si>
  <si>
    <t>B007</t>
  </si>
  <si>
    <t>Utility Payment</t>
  </si>
  <si>
    <t>UTIL0901</t>
  </si>
  <si>
    <t>B008</t>
  </si>
  <si>
    <t>INV1004</t>
  </si>
  <si>
    <t>B009</t>
  </si>
  <si>
    <t>CHG0902</t>
  </si>
  <si>
    <t>B010</t>
  </si>
  <si>
    <t>Insurance Payment</t>
  </si>
  <si>
    <t>INS0901</t>
  </si>
  <si>
    <t>B011</t>
  </si>
  <si>
    <t>INV1005</t>
  </si>
  <si>
    <t>B012</t>
  </si>
  <si>
    <t>Supplier Payment</t>
  </si>
  <si>
    <t>SUP0901</t>
  </si>
  <si>
    <t>B013</t>
  </si>
  <si>
    <t>INV1006</t>
  </si>
  <si>
    <t>B014</t>
  </si>
  <si>
    <t>Payroll Payment</t>
  </si>
  <si>
    <t>PAY0901</t>
  </si>
  <si>
    <t>B015</t>
  </si>
  <si>
    <t>INV1007</t>
  </si>
  <si>
    <t>GL001</t>
  </si>
  <si>
    <t>Accounts Receivable</t>
  </si>
  <si>
    <t>GL002</t>
  </si>
  <si>
    <t>Rent Expense</t>
  </si>
  <si>
    <t>GL003</t>
  </si>
  <si>
    <t>GL004</t>
  </si>
  <si>
    <t>GL005</t>
  </si>
  <si>
    <t>GL006</t>
  </si>
  <si>
    <t>Utilities</t>
  </si>
  <si>
    <t>GL007</t>
  </si>
  <si>
    <t>GL008</t>
  </si>
  <si>
    <t>Insurance Expense</t>
  </si>
  <si>
    <t>GL009</t>
  </si>
  <si>
    <t>GL010</t>
  </si>
  <si>
    <t>Accounts Payable</t>
  </si>
  <si>
    <t>GL011</t>
  </si>
  <si>
    <t>GL012</t>
  </si>
  <si>
    <t>Payroll Expense</t>
  </si>
  <si>
    <t>GL013</t>
  </si>
  <si>
    <t>GL014</t>
  </si>
  <si>
    <t>Professional Fees</t>
  </si>
  <si>
    <t>Consulting Payment</t>
  </si>
  <si>
    <t>CONS0901</t>
  </si>
  <si>
    <t>Bank Amount</t>
  </si>
  <si>
    <t>GL Amount</t>
  </si>
  <si>
    <t>Difference</t>
  </si>
  <si>
    <t>Exception Type</t>
  </si>
  <si>
    <t>Bank Account</t>
  </si>
  <si>
    <t xml:space="preserve">Difference </t>
  </si>
  <si>
    <t xml:space="preserve">Status </t>
  </si>
  <si>
    <t xml:space="preserve">Exception type </t>
  </si>
  <si>
    <t>Differenence</t>
  </si>
  <si>
    <t>Investigation/Action</t>
  </si>
  <si>
    <t>Verify bank statement charges in the GL; obtain supporting bank advice if required</t>
  </si>
  <si>
    <t>Investigate the 2000 difference against the customer receipt and supporting invoice; confirm whether the GL needs adjustment</t>
  </si>
  <si>
    <t>Verify bank statement charge and record the missing bank charge entry in the GL</t>
  </si>
  <si>
    <t>Verify the consultingpayment in supporting documents and bank statement; investigate why it is recorded in  the GL but not in the bank statement</t>
  </si>
  <si>
    <t>Month-End Reconciliation Summary</t>
  </si>
  <si>
    <t>Total Transactions Reviewed</t>
  </si>
  <si>
    <t>Matched Transactions</t>
  </si>
  <si>
    <t>Exception Transactions</t>
  </si>
  <si>
    <t>Reconciliation Rate</t>
  </si>
  <si>
    <t>Bank Only Exceptions</t>
  </si>
  <si>
    <t>GL Only Exceptions</t>
  </si>
  <si>
    <t>Amount Mismatch Exceptions</t>
  </si>
  <si>
    <t>Total Exception Value</t>
  </si>
  <si>
    <t xml:space="preserve">Gross Exception Value </t>
  </si>
  <si>
    <t>12 of 16 transactions were sucessfully reconciled, resulting in a 75% reconcilation rate. Four exceptions remain, with a gross exception value of 13,250. The key items requiring investigation are 10,000 GL-only Consulting Payment and the 2000 customer receipt mismatch. Bank charges totalling1250 are also pending GL recognition.</t>
  </si>
  <si>
    <t>Key Month End Observation</t>
  </si>
  <si>
    <t>Matched</t>
  </si>
  <si>
    <t>Amount 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</si>
</sst>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&quot;₹&quot;\ * #,##0_ ;_ &quot;₹&quot;\ * \-#,##0_ ;_ &quot;₹&quot;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44" fontId="1" fillId="0" borderId="1" xfId="0" applyNumberFormat="1" applyFont="1" applyBorder="1"/>
    <xf numFmtId="44" fontId="0" fillId="0" borderId="1" xfId="0" applyNumberFormat="1" applyBorder="1"/>
    <xf numFmtId="44" fontId="0" fillId="0" borderId="0" xfId="0" applyNumberFormat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/>
    <xf numFmtId="9" fontId="0" fillId="0" borderId="0" xfId="0" applyNumberFormat="1"/>
    <xf numFmtId="164" fontId="0" fillId="0" borderId="0" xfId="0" applyNumberFormat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15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vertical="center" wrapText="1"/>
    </xf>
    <xf numFmtId="22" fontId="0" fillId="0" borderId="0" xfId="0" applyNumberFormat="1"/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AFF5C5-3786-465F-BEDD-EF7FF72F4B6D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 ID" tableColumnId="1"/>
      <queryTableField id="2" name="Date" tableColumnId="2"/>
      <queryTableField id="3" name="Description" tableColumnId="3"/>
      <queryTableField id="4" name="Reference" tableColumnId="4"/>
      <queryTableField id="5" name="Debit" tableColumnId="5"/>
      <queryTableField id="6" name="Credit" tableColumnId="6"/>
      <queryTableField id="7" name="Bank Amount" tableColumnId="7"/>
      <queryTableField id="8" name="GL ID" tableColumnId="8"/>
      <queryTableField id="9" name="Account" tableColumnId="9"/>
      <queryTableField id="10" name="Reference " tableColumnId="10"/>
      <queryTableField id="11" name="Amount" tableColumnId="11"/>
      <queryTableField id="12" name="Difference" tableColumnId="12"/>
      <queryTableField id="13" name="Exception Typ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D6EA973-E306-486F-94D6-48AA0259B5A0}" autoFormatId="16" applyNumberFormats="0" applyBorderFormats="0" applyFontFormats="0" applyPatternFormats="0" applyAlignmentFormats="0" applyWidthHeightFormats="0">
  <queryTableRefresh nextId="7">
    <queryTableFields count="6">
      <queryTableField id="1" name="GL ID" tableColumnId="1"/>
      <queryTableField id="2" name="Date" tableColumnId="2"/>
      <queryTableField id="3" name="Account" tableColumnId="3"/>
      <queryTableField id="4" name="Description" tableColumnId="4"/>
      <queryTableField id="5" name="Reference " tableColumnId="5"/>
      <queryTableField id="6" name="Amount" tableColumnId="6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7E47DE-FDDC-4A10-B5CD-D7578C75B38F}" name="BankData" displayName="BankData" ref="A1:F16" totalsRowShown="0" headerRowDxfId="31" headerRowBorderDxfId="30" tableBorderDxfId="29" totalsRowBorderDxfId="28">
  <autoFilter ref="A1:F16" xr:uid="{077E47DE-FDDC-4A10-B5CD-D7578C75B38F}"/>
  <tableColumns count="6">
    <tableColumn id="1" xr3:uid="{2CE7169B-11E3-499A-A91E-9F462D6C5B3F}" name="Transaction ID" dataDxfId="27"/>
    <tableColumn id="2" xr3:uid="{48596CED-D764-4E23-BB3D-1937CED26079}" name="Date" dataDxfId="26"/>
    <tableColumn id="3" xr3:uid="{13C50920-6E0A-4901-B8C2-B2222BD3E8D5}" name="Description" dataDxfId="25"/>
    <tableColumn id="4" xr3:uid="{78B1E2EA-E015-4714-8EB8-12D20C03AFC5}" name="Reference" dataDxfId="24"/>
    <tableColumn id="5" xr3:uid="{7C026EAA-2136-4D7F-8228-A97CA69EC2E9}" name="Debit" dataDxfId="23"/>
    <tableColumn id="6" xr3:uid="{452BED3A-AE8D-4D26-B607-92318542FDD4}" name="Credit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B01973-2CEF-4C18-884B-D5740AEEDB7F}" name="GLData" displayName="GLData" ref="A1:F15" totalsRowShown="0" headerRowDxfId="21" headerRowBorderDxfId="20" tableBorderDxfId="19" totalsRowBorderDxfId="18">
  <autoFilter ref="A1:F15" xr:uid="{4CB01973-2CEF-4C18-884B-D5740AEEDB7F}"/>
  <tableColumns count="6">
    <tableColumn id="1" xr3:uid="{D7A82F4E-42F4-4D36-8539-FA8C05D71946}" name="GL ID" dataDxfId="17"/>
    <tableColumn id="2" xr3:uid="{03186F92-B947-4F7C-93BB-8D25C1BBF5B6}" name="Date" dataDxfId="16"/>
    <tableColumn id="3" xr3:uid="{74963D29-8DDA-4242-9DF2-C30AFEA44937}" name="Account" dataDxfId="15"/>
    <tableColumn id="4" xr3:uid="{0E35E73F-837B-43D8-9279-75B5955FD836}" name="Description" dataDxfId="14"/>
    <tableColumn id="5" xr3:uid="{30CEE7FD-8EF6-46D9-93D6-AFF64267ECE2}" name="Reference " dataDxfId="13"/>
    <tableColumn id="6" xr3:uid="{0778CEC5-C2E7-4F70-8F73-289118BC528F}" name="Amount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9FC2DD-8E37-428D-9CF1-A671E0252805}" name="BankData_1" displayName="BankData_1" ref="A1:M17" tableType="queryTable" totalsRowShown="0">
  <autoFilter ref="A1:M17" xr:uid="{8B9FC2DD-8E37-428D-9CF1-A671E0252805}"/>
  <tableColumns count="13">
    <tableColumn id="1" xr3:uid="{03337738-0798-445A-A08B-154315EC3CEC}" uniqueName="1" name="Transaction ID" queryTableFieldId="1" dataDxfId="11"/>
    <tableColumn id="2" xr3:uid="{EDC24B1B-9930-41D7-8FE1-EA6C9CC6A837}" uniqueName="2" name="Date" queryTableFieldId="2" dataDxfId="10"/>
    <tableColumn id="3" xr3:uid="{083EE07B-34A8-45FB-9ECB-B0D4E9F5CD32}" uniqueName="3" name="Description" queryTableFieldId="3" dataDxfId="9"/>
    <tableColumn id="4" xr3:uid="{90431E5F-8766-4311-8389-1DBA2AEC2386}" uniqueName="4" name="Reference" queryTableFieldId="4" dataDxfId="8"/>
    <tableColumn id="5" xr3:uid="{6D188E90-EBA2-45C2-9CF5-2260CADB27A3}" uniqueName="5" name="Debit" queryTableFieldId="5"/>
    <tableColumn id="6" xr3:uid="{73EDE3C1-217B-4B99-8058-38567F046DB5}" uniqueName="6" name="Credit" queryTableFieldId="6"/>
    <tableColumn id="7" xr3:uid="{E6898F65-0A29-42B6-BC00-5B5D51D271F9}" uniqueName="7" name="Bank Amount" queryTableFieldId="7"/>
    <tableColumn id="8" xr3:uid="{2CCB9803-55DB-4647-9D3A-0E3027DDC40D}" uniqueName="8" name="GL ID" queryTableFieldId="8" dataDxfId="7"/>
    <tableColumn id="9" xr3:uid="{9E9375A3-5B84-4DAD-B270-801612A7AD2D}" uniqueName="9" name="Account" queryTableFieldId="9" dataDxfId="6"/>
    <tableColumn id="10" xr3:uid="{5D4EBE21-3DBC-4C02-8EFC-F531A348B545}" uniqueName="10" name="Reference " queryTableFieldId="10" dataDxfId="5"/>
    <tableColumn id="11" xr3:uid="{69423400-49A0-4DD4-AB05-23BE808F0F09}" uniqueName="11" name="Amount" queryTableFieldId="11"/>
    <tableColumn id="12" xr3:uid="{258E8ABE-6479-4E45-95AC-FB546ADDAC78}" uniqueName="12" name="Difference" queryTableFieldId="12"/>
    <tableColumn id="13" xr3:uid="{1BB281DC-151B-4C67-B499-D8BF58212A43}" uniqueName="13" name="Exception Type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4096B9-5647-49E5-A9BE-EEED8D107989}" name="GLData_1" displayName="GLData_1" ref="A1:F15" tableType="queryTable" totalsRowShown="0">
  <autoFilter ref="A1:F15" xr:uid="{104096B9-5647-49E5-A9BE-EEED8D107989}"/>
  <tableColumns count="6">
    <tableColumn id="1" xr3:uid="{CE279354-43DB-4CF1-9D20-9BAB1509853C}" uniqueName="1" name="GL ID" queryTableFieldId="1" dataDxfId="4"/>
    <tableColumn id="2" xr3:uid="{DAAC0D16-9EAA-452F-A223-D6BAAE0639CF}" uniqueName="2" name="Date" queryTableFieldId="2" dataDxfId="3"/>
    <tableColumn id="3" xr3:uid="{DAD1A9C6-2384-42EB-B4FA-E8BE7249D5BD}" uniqueName="3" name="Account" queryTableFieldId="3" dataDxfId="2"/>
    <tableColumn id="4" xr3:uid="{689F9173-E1DC-42F2-B79C-4FE89F972DB3}" uniqueName="4" name="Description" queryTableFieldId="4" dataDxfId="1"/>
    <tableColumn id="5" xr3:uid="{7C8A17F4-CBB7-4F3D-B45A-31B12EEB6BA5}" uniqueName="5" name="Reference " queryTableFieldId="5" dataDxfId="0"/>
    <tableColumn id="6" xr3:uid="{0A421331-3A01-45DF-9FFF-EEB3D3871849}" uniqueName="6" name="Amoun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9FD7-51B5-436C-A04D-8D156DD5801A}">
  <dimension ref="A1:F16"/>
  <sheetViews>
    <sheetView workbookViewId="0">
      <selection sqref="A1:F16"/>
    </sheetView>
  </sheetViews>
  <sheetFormatPr defaultRowHeight="14.5" x14ac:dyDescent="0.35"/>
  <cols>
    <col min="1" max="1" width="15.81640625" customWidth="1"/>
    <col min="2" max="2" width="15.453125" customWidth="1"/>
    <col min="3" max="3" width="16.54296875" customWidth="1"/>
    <col min="4" max="4" width="11.1796875" customWidth="1"/>
  </cols>
  <sheetData>
    <row r="1" spans="1:6" ht="14" customHeight="1" x14ac:dyDescent="0.35">
      <c r="A1" s="17" t="s">
        <v>5</v>
      </c>
      <c r="B1" s="18" t="s">
        <v>0</v>
      </c>
      <c r="C1" s="18" t="s">
        <v>2</v>
      </c>
      <c r="D1" s="18" t="s">
        <v>3</v>
      </c>
      <c r="E1" s="18" t="s">
        <v>6</v>
      </c>
      <c r="F1" s="19" t="s">
        <v>7</v>
      </c>
    </row>
    <row r="2" spans="1:6" x14ac:dyDescent="0.35">
      <c r="A2" s="15" t="s">
        <v>10</v>
      </c>
      <c r="B2" s="12">
        <v>46266</v>
      </c>
      <c r="C2" s="3" t="s">
        <v>11</v>
      </c>
      <c r="D2" s="3" t="s">
        <v>12</v>
      </c>
      <c r="E2" s="3">
        <v>0</v>
      </c>
      <c r="F2" s="16">
        <v>50000</v>
      </c>
    </row>
    <row r="3" spans="1:6" x14ac:dyDescent="0.35">
      <c r="A3" s="15" t="s">
        <v>13</v>
      </c>
      <c r="B3" s="12">
        <v>46267</v>
      </c>
      <c r="C3" s="3" t="s">
        <v>14</v>
      </c>
      <c r="D3" s="3" t="s">
        <v>15</v>
      </c>
      <c r="E3" s="3">
        <v>20000</v>
      </c>
      <c r="F3" s="16">
        <v>0</v>
      </c>
    </row>
    <row r="4" spans="1:6" x14ac:dyDescent="0.35">
      <c r="A4" s="15" t="s">
        <v>16</v>
      </c>
      <c r="B4" s="12">
        <v>46268</v>
      </c>
      <c r="C4" s="3" t="s">
        <v>17</v>
      </c>
      <c r="D4" s="3" t="s">
        <v>18</v>
      </c>
      <c r="E4" s="3">
        <v>500</v>
      </c>
      <c r="F4" s="16">
        <v>0</v>
      </c>
    </row>
    <row r="5" spans="1:6" x14ac:dyDescent="0.35">
      <c r="A5" s="15" t="s">
        <v>19</v>
      </c>
      <c r="B5" s="12">
        <v>46269</v>
      </c>
      <c r="C5" s="3" t="s">
        <v>11</v>
      </c>
      <c r="D5" s="3" t="s">
        <v>20</v>
      </c>
      <c r="E5" s="3">
        <v>0</v>
      </c>
      <c r="F5" s="16">
        <v>75000</v>
      </c>
    </row>
    <row r="6" spans="1:6" x14ac:dyDescent="0.35">
      <c r="A6" s="15" t="s">
        <v>21</v>
      </c>
      <c r="B6" s="12">
        <v>46270</v>
      </c>
      <c r="C6" s="3" t="s">
        <v>22</v>
      </c>
      <c r="D6" s="3" t="s">
        <v>23</v>
      </c>
      <c r="E6" s="3">
        <v>8500</v>
      </c>
      <c r="F6" s="16">
        <v>0</v>
      </c>
    </row>
    <row r="7" spans="1:6" x14ac:dyDescent="0.35">
      <c r="A7" s="15" t="s">
        <v>24</v>
      </c>
      <c r="B7" s="12">
        <v>46271</v>
      </c>
      <c r="C7" s="3" t="s">
        <v>11</v>
      </c>
      <c r="D7" s="3" t="s">
        <v>25</v>
      </c>
      <c r="E7" s="3">
        <v>0</v>
      </c>
      <c r="F7" s="16">
        <v>42000</v>
      </c>
    </row>
    <row r="8" spans="1:6" x14ac:dyDescent="0.35">
      <c r="A8" s="15" t="s">
        <v>26</v>
      </c>
      <c r="B8" s="12">
        <v>46272</v>
      </c>
      <c r="C8" s="3" t="s">
        <v>27</v>
      </c>
      <c r="D8" s="3" t="s">
        <v>28</v>
      </c>
      <c r="E8" s="3">
        <v>6500</v>
      </c>
      <c r="F8" s="16">
        <v>0</v>
      </c>
    </row>
    <row r="9" spans="1:6" x14ac:dyDescent="0.35">
      <c r="A9" s="15" t="s">
        <v>29</v>
      </c>
      <c r="B9" s="12">
        <v>46273</v>
      </c>
      <c r="C9" s="3" t="s">
        <v>11</v>
      </c>
      <c r="D9" s="3" t="s">
        <v>30</v>
      </c>
      <c r="E9" s="3">
        <v>0</v>
      </c>
      <c r="F9" s="16">
        <v>62000</v>
      </c>
    </row>
    <row r="10" spans="1:6" x14ac:dyDescent="0.35">
      <c r="A10" s="15" t="s">
        <v>31</v>
      </c>
      <c r="B10" s="12">
        <v>46274</v>
      </c>
      <c r="C10" s="3" t="s">
        <v>17</v>
      </c>
      <c r="D10" s="3" t="s">
        <v>32</v>
      </c>
      <c r="E10" s="3">
        <v>750</v>
      </c>
      <c r="F10" s="16">
        <v>0</v>
      </c>
    </row>
    <row r="11" spans="1:6" x14ac:dyDescent="0.35">
      <c r="A11" s="15" t="s">
        <v>33</v>
      </c>
      <c r="B11" s="12">
        <v>46275</v>
      </c>
      <c r="C11" s="3" t="s">
        <v>34</v>
      </c>
      <c r="D11" s="3" t="s">
        <v>35</v>
      </c>
      <c r="E11" s="3">
        <v>12000</v>
      </c>
      <c r="F11" s="16">
        <v>0</v>
      </c>
    </row>
    <row r="12" spans="1:6" x14ac:dyDescent="0.35">
      <c r="A12" s="15" t="s">
        <v>36</v>
      </c>
      <c r="B12" s="12">
        <v>46276</v>
      </c>
      <c r="C12" s="3" t="s">
        <v>11</v>
      </c>
      <c r="D12" s="3" t="s">
        <v>37</v>
      </c>
      <c r="E12" s="3">
        <v>0</v>
      </c>
      <c r="F12" s="16">
        <v>38000</v>
      </c>
    </row>
    <row r="13" spans="1:6" x14ac:dyDescent="0.35">
      <c r="A13" s="15" t="s">
        <v>38</v>
      </c>
      <c r="B13" s="12">
        <v>46277</v>
      </c>
      <c r="C13" s="3" t="s">
        <v>39</v>
      </c>
      <c r="D13" s="3" t="s">
        <v>40</v>
      </c>
      <c r="E13" s="3">
        <v>15500</v>
      </c>
      <c r="F13" s="16">
        <v>0</v>
      </c>
    </row>
    <row r="14" spans="1:6" x14ac:dyDescent="0.35">
      <c r="A14" s="15" t="s">
        <v>41</v>
      </c>
      <c r="B14" s="12">
        <v>46278</v>
      </c>
      <c r="C14" s="3" t="s">
        <v>11</v>
      </c>
      <c r="D14" s="3" t="s">
        <v>42</v>
      </c>
      <c r="E14" s="3">
        <v>0</v>
      </c>
      <c r="F14" s="16">
        <v>91000</v>
      </c>
    </row>
    <row r="15" spans="1:6" x14ac:dyDescent="0.35">
      <c r="A15" s="15" t="s">
        <v>43</v>
      </c>
      <c r="B15" s="12">
        <v>46279</v>
      </c>
      <c r="C15" s="3" t="s">
        <v>44</v>
      </c>
      <c r="D15" s="3" t="s">
        <v>45</v>
      </c>
      <c r="E15" s="3">
        <v>28000</v>
      </c>
      <c r="F15" s="16">
        <v>0</v>
      </c>
    </row>
    <row r="16" spans="1:6" x14ac:dyDescent="0.35">
      <c r="A16" s="20" t="s">
        <v>46</v>
      </c>
      <c r="B16" s="21">
        <v>46280</v>
      </c>
      <c r="C16" s="22" t="s">
        <v>11</v>
      </c>
      <c r="D16" s="22" t="s">
        <v>47</v>
      </c>
      <c r="E16" s="22">
        <v>0</v>
      </c>
      <c r="F16" s="23">
        <v>47000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69872-E4BE-4C8E-9399-0B875B174A0C}">
  <dimension ref="A1:F15"/>
  <sheetViews>
    <sheetView topLeftCell="D1" workbookViewId="0">
      <selection activeCell="C4" sqref="C4"/>
    </sheetView>
  </sheetViews>
  <sheetFormatPr defaultRowHeight="14.5" x14ac:dyDescent="0.35"/>
  <cols>
    <col min="1" max="1" width="15.81640625" customWidth="1"/>
    <col min="2" max="2" width="17.08984375" customWidth="1"/>
    <col min="3" max="3" width="21.81640625" customWidth="1"/>
    <col min="4" max="4" width="19.36328125" customWidth="1"/>
    <col min="5" max="5" width="11.6328125" customWidth="1"/>
    <col min="6" max="6" width="9.6328125" customWidth="1"/>
  </cols>
  <sheetData>
    <row r="1" spans="1:6" ht="15.5" customHeight="1" x14ac:dyDescent="0.35">
      <c r="A1" s="17" t="s">
        <v>8</v>
      </c>
      <c r="B1" s="18" t="s">
        <v>0</v>
      </c>
      <c r="C1" s="18" t="s">
        <v>1</v>
      </c>
      <c r="D1" s="18" t="s">
        <v>2</v>
      </c>
      <c r="E1" s="18" t="s">
        <v>9</v>
      </c>
      <c r="F1" s="19" t="s">
        <v>4</v>
      </c>
    </row>
    <row r="2" spans="1:6" x14ac:dyDescent="0.35">
      <c r="A2" s="24" t="s">
        <v>48</v>
      </c>
      <c r="B2" s="12">
        <v>46266</v>
      </c>
      <c r="C2" s="3" t="s">
        <v>49</v>
      </c>
      <c r="D2" s="3" t="s">
        <v>11</v>
      </c>
      <c r="E2" s="3" t="s">
        <v>12</v>
      </c>
      <c r="F2" s="16">
        <v>50000</v>
      </c>
    </row>
    <row r="3" spans="1:6" x14ac:dyDescent="0.35">
      <c r="A3" s="24" t="s">
        <v>50</v>
      </c>
      <c r="B3" s="12">
        <v>46267</v>
      </c>
      <c r="C3" s="3" t="s">
        <v>51</v>
      </c>
      <c r="D3" s="3" t="s">
        <v>14</v>
      </c>
      <c r="E3" s="3" t="s">
        <v>15</v>
      </c>
      <c r="F3" s="16">
        <v>20000</v>
      </c>
    </row>
    <row r="4" spans="1:6" x14ac:dyDescent="0.35">
      <c r="A4" s="24" t="s">
        <v>52</v>
      </c>
      <c r="B4" s="12">
        <v>46269</v>
      </c>
      <c r="C4" s="3" t="s">
        <v>49</v>
      </c>
      <c r="D4" s="3" t="s">
        <v>11</v>
      </c>
      <c r="E4" s="3" t="s">
        <v>20</v>
      </c>
      <c r="F4" s="16">
        <v>75000</v>
      </c>
    </row>
    <row r="5" spans="1:6" x14ac:dyDescent="0.35">
      <c r="A5" s="24" t="s">
        <v>53</v>
      </c>
      <c r="B5" s="12">
        <v>46270</v>
      </c>
      <c r="C5" s="3" t="s">
        <v>22</v>
      </c>
      <c r="D5" s="3" t="s">
        <v>22</v>
      </c>
      <c r="E5" s="3" t="s">
        <v>23</v>
      </c>
      <c r="F5" s="16">
        <v>8500</v>
      </c>
    </row>
    <row r="6" spans="1:6" x14ac:dyDescent="0.35">
      <c r="A6" s="24" t="s">
        <v>54</v>
      </c>
      <c r="B6" s="12">
        <v>46271</v>
      </c>
      <c r="C6" s="3" t="s">
        <v>49</v>
      </c>
      <c r="D6" s="3" t="s">
        <v>11</v>
      </c>
      <c r="E6" s="3" t="s">
        <v>25</v>
      </c>
      <c r="F6" s="16">
        <v>42000</v>
      </c>
    </row>
    <row r="7" spans="1:6" x14ac:dyDescent="0.35">
      <c r="A7" s="15" t="s">
        <v>55</v>
      </c>
      <c r="B7" s="12">
        <v>46272</v>
      </c>
      <c r="C7" s="3" t="s">
        <v>56</v>
      </c>
      <c r="D7" s="3" t="s">
        <v>27</v>
      </c>
      <c r="E7" s="3" t="s">
        <v>28</v>
      </c>
      <c r="F7" s="16">
        <v>6500</v>
      </c>
    </row>
    <row r="8" spans="1:6" x14ac:dyDescent="0.35">
      <c r="A8" s="15" t="s">
        <v>57</v>
      </c>
      <c r="B8" s="12">
        <v>46273</v>
      </c>
      <c r="C8" s="3" t="s">
        <v>49</v>
      </c>
      <c r="D8" s="3" t="s">
        <v>11</v>
      </c>
      <c r="E8" s="3" t="s">
        <v>30</v>
      </c>
      <c r="F8" s="16">
        <v>60000</v>
      </c>
    </row>
    <row r="9" spans="1:6" x14ac:dyDescent="0.35">
      <c r="A9" s="15" t="s">
        <v>58</v>
      </c>
      <c r="B9" s="12">
        <v>46275</v>
      </c>
      <c r="C9" s="3" t="s">
        <v>59</v>
      </c>
      <c r="D9" s="3" t="s">
        <v>34</v>
      </c>
      <c r="E9" s="3" t="s">
        <v>35</v>
      </c>
      <c r="F9" s="16">
        <v>12000</v>
      </c>
    </row>
    <row r="10" spans="1:6" x14ac:dyDescent="0.35">
      <c r="A10" s="15" t="s">
        <v>60</v>
      </c>
      <c r="B10" s="12">
        <v>46276</v>
      </c>
      <c r="C10" s="3" t="s">
        <v>49</v>
      </c>
      <c r="D10" s="3" t="s">
        <v>11</v>
      </c>
      <c r="E10" s="3" t="s">
        <v>37</v>
      </c>
      <c r="F10" s="16">
        <v>38000</v>
      </c>
    </row>
    <row r="11" spans="1:6" x14ac:dyDescent="0.35">
      <c r="A11" s="15" t="s">
        <v>61</v>
      </c>
      <c r="B11" s="12">
        <v>46277</v>
      </c>
      <c r="C11" s="3" t="s">
        <v>62</v>
      </c>
      <c r="D11" s="3" t="s">
        <v>39</v>
      </c>
      <c r="E11" s="3" t="s">
        <v>40</v>
      </c>
      <c r="F11" s="16">
        <v>15500</v>
      </c>
    </row>
    <row r="12" spans="1:6" x14ac:dyDescent="0.35">
      <c r="A12" s="15" t="s">
        <v>63</v>
      </c>
      <c r="B12" s="12">
        <v>46278</v>
      </c>
      <c r="C12" s="3" t="s">
        <v>49</v>
      </c>
      <c r="D12" s="3" t="s">
        <v>11</v>
      </c>
      <c r="E12" s="3" t="s">
        <v>42</v>
      </c>
      <c r="F12" s="16">
        <v>91000</v>
      </c>
    </row>
    <row r="13" spans="1:6" x14ac:dyDescent="0.35">
      <c r="A13" s="15" t="s">
        <v>64</v>
      </c>
      <c r="B13" s="12">
        <v>46279</v>
      </c>
      <c r="C13" s="3" t="s">
        <v>65</v>
      </c>
      <c r="D13" s="3" t="s">
        <v>44</v>
      </c>
      <c r="E13" s="3" t="s">
        <v>45</v>
      </c>
      <c r="F13" s="16">
        <v>28000</v>
      </c>
    </row>
    <row r="14" spans="1:6" x14ac:dyDescent="0.35">
      <c r="A14" s="15" t="s">
        <v>66</v>
      </c>
      <c r="B14" s="12">
        <v>46280</v>
      </c>
      <c r="C14" s="3" t="s">
        <v>49</v>
      </c>
      <c r="D14" s="3" t="s">
        <v>11</v>
      </c>
      <c r="E14" s="3" t="s">
        <v>47</v>
      </c>
      <c r="F14" s="16">
        <v>47000</v>
      </c>
    </row>
    <row r="15" spans="1:6" x14ac:dyDescent="0.35">
      <c r="A15" s="20" t="s">
        <v>67</v>
      </c>
      <c r="B15" s="21">
        <v>46281</v>
      </c>
      <c r="C15" s="22" t="s">
        <v>68</v>
      </c>
      <c r="D15" s="22" t="s">
        <v>69</v>
      </c>
      <c r="E15" s="22" t="s">
        <v>70</v>
      </c>
      <c r="F15" s="23">
        <v>10000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0970-5104-4184-9B26-B5997251710A}">
  <dimension ref="A1:M17"/>
  <sheetViews>
    <sheetView tabSelected="1" zoomScale="83" zoomScaleNormal="83" workbookViewId="0">
      <selection activeCell="I5" sqref="I5"/>
    </sheetView>
  </sheetViews>
  <sheetFormatPr defaultRowHeight="14.5" x14ac:dyDescent="0.35"/>
  <cols>
    <col min="1" max="1" width="15.26953125" bestFit="1" customWidth="1"/>
    <col min="2" max="2" width="15.1796875" bestFit="1" customWidth="1"/>
    <col min="3" max="3" width="16.81640625" bestFit="1" customWidth="1"/>
    <col min="4" max="4" width="11.453125" bestFit="1" customWidth="1"/>
    <col min="5" max="5" width="7.6328125" bestFit="1" customWidth="1"/>
    <col min="6" max="6" width="8.1796875" bestFit="1" customWidth="1"/>
    <col min="7" max="7" width="14.54296875" bestFit="1" customWidth="1"/>
    <col min="8" max="8" width="7.453125" bestFit="1" customWidth="1"/>
    <col min="9" max="9" width="17.81640625" bestFit="1" customWidth="1"/>
    <col min="10" max="10" width="11.90625" bestFit="1" customWidth="1"/>
    <col min="11" max="11" width="9.90625" bestFit="1" customWidth="1"/>
    <col min="12" max="12" width="11.7265625" bestFit="1" customWidth="1"/>
    <col min="13" max="13" width="16.26953125" bestFit="1" customWidth="1"/>
  </cols>
  <sheetData>
    <row r="1" spans="1:13" x14ac:dyDescent="0.35">
      <c r="A1" t="s">
        <v>5</v>
      </c>
      <c r="B1" t="s">
        <v>0</v>
      </c>
      <c r="C1" t="s">
        <v>2</v>
      </c>
      <c r="D1" t="s">
        <v>3</v>
      </c>
      <c r="E1" t="s">
        <v>6</v>
      </c>
      <c r="F1" t="s">
        <v>7</v>
      </c>
      <c r="G1" t="s">
        <v>71</v>
      </c>
      <c r="H1" t="s">
        <v>8</v>
      </c>
      <c r="I1" t="s">
        <v>1</v>
      </c>
      <c r="J1" t="s">
        <v>9</v>
      </c>
      <c r="K1" t="s">
        <v>4</v>
      </c>
      <c r="L1" t="s">
        <v>73</v>
      </c>
      <c r="M1" t="s">
        <v>74</v>
      </c>
    </row>
    <row r="2" spans="1:13" x14ac:dyDescent="0.35">
      <c r="A2" t="s">
        <v>10</v>
      </c>
      <c r="B2" s="25">
        <v>46266</v>
      </c>
      <c r="C2" t="s">
        <v>11</v>
      </c>
      <c r="D2" t="s">
        <v>12</v>
      </c>
      <c r="E2">
        <v>0</v>
      </c>
      <c r="F2">
        <v>50000</v>
      </c>
      <c r="G2">
        <v>50000</v>
      </c>
      <c r="H2" t="s">
        <v>48</v>
      </c>
      <c r="I2" t="s">
        <v>49</v>
      </c>
      <c r="J2" t="s">
        <v>12</v>
      </c>
      <c r="K2">
        <v>50000</v>
      </c>
      <c r="L2">
        <v>0</v>
      </c>
      <c r="M2" t="s">
        <v>97</v>
      </c>
    </row>
    <row r="3" spans="1:13" x14ac:dyDescent="0.35">
      <c r="A3" t="s">
        <v>13</v>
      </c>
      <c r="B3" s="25">
        <v>46267</v>
      </c>
      <c r="C3" t="s">
        <v>14</v>
      </c>
      <c r="D3" t="s">
        <v>15</v>
      </c>
      <c r="E3">
        <v>20000</v>
      </c>
      <c r="F3">
        <v>0</v>
      </c>
      <c r="G3">
        <v>20000</v>
      </c>
      <c r="H3" t="s">
        <v>50</v>
      </c>
      <c r="I3" t="s">
        <v>51</v>
      </c>
      <c r="J3" t="s">
        <v>15</v>
      </c>
      <c r="K3">
        <v>20000</v>
      </c>
      <c r="L3">
        <v>0</v>
      </c>
      <c r="M3" t="s">
        <v>97</v>
      </c>
    </row>
    <row r="4" spans="1:13" x14ac:dyDescent="0.35">
      <c r="A4" t="s">
        <v>16</v>
      </c>
      <c r="B4" s="25">
        <v>46268</v>
      </c>
      <c r="C4" t="s">
        <v>17</v>
      </c>
      <c r="D4" t="s">
        <v>18</v>
      </c>
      <c r="E4">
        <v>500</v>
      </c>
      <c r="F4">
        <v>0</v>
      </c>
      <c r="G4">
        <v>500</v>
      </c>
      <c r="L4">
        <v>500</v>
      </c>
      <c r="M4" t="s">
        <v>98</v>
      </c>
    </row>
    <row r="5" spans="1:13" x14ac:dyDescent="0.35">
      <c r="A5" t="s">
        <v>19</v>
      </c>
      <c r="B5" s="25">
        <v>46269</v>
      </c>
      <c r="C5" t="s">
        <v>11</v>
      </c>
      <c r="D5" t="s">
        <v>20</v>
      </c>
      <c r="E5">
        <v>0</v>
      </c>
      <c r="F5">
        <v>75000</v>
      </c>
      <c r="G5">
        <v>75000</v>
      </c>
      <c r="H5" t="s">
        <v>52</v>
      </c>
      <c r="I5" t="s">
        <v>49</v>
      </c>
      <c r="J5" t="s">
        <v>20</v>
      </c>
      <c r="K5">
        <v>75000</v>
      </c>
      <c r="L5">
        <v>0</v>
      </c>
      <c r="M5" t="s">
        <v>97</v>
      </c>
    </row>
    <row r="6" spans="1:13" x14ac:dyDescent="0.35">
      <c r="A6" t="s">
        <v>21</v>
      </c>
      <c r="B6" s="25">
        <v>46270</v>
      </c>
      <c r="C6" t="s">
        <v>22</v>
      </c>
      <c r="D6" t="s">
        <v>23</v>
      </c>
      <c r="E6">
        <v>8500</v>
      </c>
      <c r="F6">
        <v>0</v>
      </c>
      <c r="G6">
        <v>8500</v>
      </c>
      <c r="H6" t="s">
        <v>53</v>
      </c>
      <c r="I6" t="s">
        <v>22</v>
      </c>
      <c r="J6" t="s">
        <v>23</v>
      </c>
      <c r="K6">
        <v>8500</v>
      </c>
      <c r="L6">
        <v>0</v>
      </c>
      <c r="M6" t="s">
        <v>97</v>
      </c>
    </row>
    <row r="7" spans="1:13" x14ac:dyDescent="0.35">
      <c r="A7" t="s">
        <v>24</v>
      </c>
      <c r="B7" s="25">
        <v>46271</v>
      </c>
      <c r="C7" t="s">
        <v>11</v>
      </c>
      <c r="D7" t="s">
        <v>25</v>
      </c>
      <c r="E7">
        <v>0</v>
      </c>
      <c r="F7">
        <v>42000</v>
      </c>
      <c r="G7">
        <v>42000</v>
      </c>
      <c r="H7" t="s">
        <v>54</v>
      </c>
      <c r="I7" t="s">
        <v>49</v>
      </c>
      <c r="J7" t="s">
        <v>25</v>
      </c>
      <c r="K7">
        <v>42000</v>
      </c>
      <c r="L7">
        <v>0</v>
      </c>
      <c r="M7" t="s">
        <v>97</v>
      </c>
    </row>
    <row r="8" spans="1:13" x14ac:dyDescent="0.35">
      <c r="A8" t="s">
        <v>26</v>
      </c>
      <c r="B8" s="25">
        <v>46272</v>
      </c>
      <c r="C8" t="s">
        <v>27</v>
      </c>
      <c r="D8" t="s">
        <v>28</v>
      </c>
      <c r="E8">
        <v>6500</v>
      </c>
      <c r="F8">
        <v>0</v>
      </c>
      <c r="G8">
        <v>6500</v>
      </c>
      <c r="H8" t="s">
        <v>55</v>
      </c>
      <c r="I8" t="s">
        <v>56</v>
      </c>
      <c r="J8" t="s">
        <v>28</v>
      </c>
      <c r="K8">
        <v>6500</v>
      </c>
      <c r="L8">
        <v>0</v>
      </c>
      <c r="M8" t="s">
        <v>97</v>
      </c>
    </row>
    <row r="9" spans="1:13" x14ac:dyDescent="0.35">
      <c r="A9" t="s">
        <v>29</v>
      </c>
      <c r="B9" s="25">
        <v>46273</v>
      </c>
      <c r="C9" t="s">
        <v>11</v>
      </c>
      <c r="D9" t="s">
        <v>30</v>
      </c>
      <c r="E9">
        <v>0</v>
      </c>
      <c r="F9">
        <v>62000</v>
      </c>
      <c r="G9">
        <v>62000</v>
      </c>
      <c r="H9" t="s">
        <v>57</v>
      </c>
      <c r="I9" t="s">
        <v>49</v>
      </c>
      <c r="J9" t="s">
        <v>30</v>
      </c>
      <c r="K9">
        <v>60000</v>
      </c>
      <c r="L9">
        <v>2000</v>
      </c>
      <c r="M9" t="s">
        <v>98</v>
      </c>
    </row>
    <row r="10" spans="1:13" x14ac:dyDescent="0.35">
      <c r="A10" t="s">
        <v>33</v>
      </c>
      <c r="B10" s="25">
        <v>46275</v>
      </c>
      <c r="C10" t="s">
        <v>34</v>
      </c>
      <c r="D10" t="s">
        <v>35</v>
      </c>
      <c r="E10">
        <v>12000</v>
      </c>
      <c r="F10">
        <v>0</v>
      </c>
      <c r="G10">
        <v>12000</v>
      </c>
      <c r="H10" t="s">
        <v>58</v>
      </c>
      <c r="I10" t="s">
        <v>59</v>
      </c>
      <c r="J10" t="s">
        <v>35</v>
      </c>
      <c r="K10">
        <v>12000</v>
      </c>
      <c r="L10">
        <v>0</v>
      </c>
      <c r="M10" t="s">
        <v>97</v>
      </c>
    </row>
    <row r="11" spans="1:13" x14ac:dyDescent="0.35">
      <c r="A11" t="s">
        <v>31</v>
      </c>
      <c r="B11" s="25">
        <v>46274</v>
      </c>
      <c r="C11" t="s">
        <v>17</v>
      </c>
      <c r="D11" t="s">
        <v>32</v>
      </c>
      <c r="E11">
        <v>750</v>
      </c>
      <c r="F11">
        <v>0</v>
      </c>
      <c r="G11">
        <v>750</v>
      </c>
      <c r="L11">
        <v>750</v>
      </c>
      <c r="M11" t="s">
        <v>98</v>
      </c>
    </row>
    <row r="12" spans="1:13" x14ac:dyDescent="0.35">
      <c r="A12" t="s">
        <v>36</v>
      </c>
      <c r="B12" s="25">
        <v>46276</v>
      </c>
      <c r="C12" t="s">
        <v>11</v>
      </c>
      <c r="D12" t="s">
        <v>37</v>
      </c>
      <c r="E12">
        <v>0</v>
      </c>
      <c r="F12">
        <v>38000</v>
      </c>
      <c r="G12">
        <v>38000</v>
      </c>
      <c r="H12" t="s">
        <v>60</v>
      </c>
      <c r="I12" t="s">
        <v>49</v>
      </c>
      <c r="J12" t="s">
        <v>37</v>
      </c>
      <c r="K12">
        <v>38000</v>
      </c>
      <c r="L12">
        <v>0</v>
      </c>
      <c r="M12" t="s">
        <v>97</v>
      </c>
    </row>
    <row r="13" spans="1:13" x14ac:dyDescent="0.35">
      <c r="A13" t="s">
        <v>38</v>
      </c>
      <c r="B13" s="25">
        <v>46277</v>
      </c>
      <c r="C13" t="s">
        <v>39</v>
      </c>
      <c r="D13" t="s">
        <v>40</v>
      </c>
      <c r="E13">
        <v>15500</v>
      </c>
      <c r="F13">
        <v>0</v>
      </c>
      <c r="G13">
        <v>15500</v>
      </c>
      <c r="H13" t="s">
        <v>61</v>
      </c>
      <c r="I13" t="s">
        <v>62</v>
      </c>
      <c r="J13" t="s">
        <v>40</v>
      </c>
      <c r="K13">
        <v>15500</v>
      </c>
      <c r="L13">
        <v>0</v>
      </c>
      <c r="M13" t="s">
        <v>97</v>
      </c>
    </row>
    <row r="14" spans="1:13" x14ac:dyDescent="0.35">
      <c r="A14" t="s">
        <v>41</v>
      </c>
      <c r="B14" s="25">
        <v>46278</v>
      </c>
      <c r="C14" t="s">
        <v>11</v>
      </c>
      <c r="D14" t="s">
        <v>42</v>
      </c>
      <c r="E14">
        <v>0</v>
      </c>
      <c r="F14">
        <v>91000</v>
      </c>
      <c r="G14">
        <v>91000</v>
      </c>
      <c r="H14" t="s">
        <v>63</v>
      </c>
      <c r="I14" t="s">
        <v>49</v>
      </c>
      <c r="J14" t="s">
        <v>42</v>
      </c>
      <c r="K14">
        <v>91000</v>
      </c>
      <c r="L14">
        <v>0</v>
      </c>
      <c r="M14" t="s">
        <v>97</v>
      </c>
    </row>
    <row r="15" spans="1:13" x14ac:dyDescent="0.35">
      <c r="A15" t="s">
        <v>43</v>
      </c>
      <c r="B15" s="25">
        <v>46279</v>
      </c>
      <c r="C15" t="s">
        <v>44</v>
      </c>
      <c r="D15" t="s">
        <v>45</v>
      </c>
      <c r="E15">
        <v>28000</v>
      </c>
      <c r="F15">
        <v>0</v>
      </c>
      <c r="G15">
        <v>28000</v>
      </c>
      <c r="H15" t="s">
        <v>64</v>
      </c>
      <c r="I15" t="s">
        <v>65</v>
      </c>
      <c r="J15" t="s">
        <v>45</v>
      </c>
      <c r="K15">
        <v>28000</v>
      </c>
      <c r="L15">
        <v>0</v>
      </c>
      <c r="M15" t="s">
        <v>97</v>
      </c>
    </row>
    <row r="16" spans="1:13" x14ac:dyDescent="0.35">
      <c r="A16" t="s">
        <v>46</v>
      </c>
      <c r="B16" s="25">
        <v>46280</v>
      </c>
      <c r="C16" t="s">
        <v>11</v>
      </c>
      <c r="D16" t="s">
        <v>47</v>
      </c>
      <c r="E16">
        <v>0</v>
      </c>
      <c r="F16">
        <v>47000</v>
      </c>
      <c r="G16">
        <v>47000</v>
      </c>
      <c r="H16" t="s">
        <v>66</v>
      </c>
      <c r="I16" t="s">
        <v>49</v>
      </c>
      <c r="J16" t="s">
        <v>47</v>
      </c>
      <c r="K16">
        <v>47000</v>
      </c>
      <c r="L16">
        <v>0</v>
      </c>
      <c r="M16" t="s">
        <v>97</v>
      </c>
    </row>
    <row r="17" spans="2:13" x14ac:dyDescent="0.35">
      <c r="B17" s="25"/>
      <c r="H17" t="s">
        <v>67</v>
      </c>
      <c r="I17" t="s">
        <v>68</v>
      </c>
      <c r="J17" t="s">
        <v>70</v>
      </c>
      <c r="K17">
        <v>10000</v>
      </c>
      <c r="L17">
        <v>-10000</v>
      </c>
      <c r="M17" t="s">
        <v>98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71D1-FB74-42C5-88B2-586167D76825}">
  <dimension ref="A1:F15"/>
  <sheetViews>
    <sheetView workbookViewId="0"/>
  </sheetViews>
  <sheetFormatPr defaultRowHeight="14.5" x14ac:dyDescent="0.35"/>
  <cols>
    <col min="1" max="1" width="7.453125" bestFit="1" customWidth="1"/>
    <col min="2" max="2" width="15.1796875" bestFit="1" customWidth="1"/>
    <col min="3" max="3" width="17.81640625" bestFit="1" customWidth="1"/>
    <col min="4" max="4" width="17.453125" bestFit="1" customWidth="1"/>
    <col min="5" max="5" width="11.90625" bestFit="1" customWidth="1"/>
    <col min="6" max="6" width="9.90625" bestFit="1" customWidth="1"/>
  </cols>
  <sheetData>
    <row r="1" spans="1:6" x14ac:dyDescent="0.35">
      <c r="A1" t="s">
        <v>8</v>
      </c>
      <c r="B1" t="s">
        <v>0</v>
      </c>
      <c r="C1" t="s">
        <v>1</v>
      </c>
      <c r="D1" t="s">
        <v>2</v>
      </c>
      <c r="E1" t="s">
        <v>9</v>
      </c>
      <c r="F1" t="s">
        <v>4</v>
      </c>
    </row>
    <row r="2" spans="1:6" x14ac:dyDescent="0.35">
      <c r="A2" t="s">
        <v>48</v>
      </c>
      <c r="B2" s="25">
        <v>46266</v>
      </c>
      <c r="C2" t="s">
        <v>49</v>
      </c>
      <c r="D2" t="s">
        <v>11</v>
      </c>
      <c r="E2" t="s">
        <v>12</v>
      </c>
      <c r="F2">
        <v>50000</v>
      </c>
    </row>
    <row r="3" spans="1:6" x14ac:dyDescent="0.35">
      <c r="A3" t="s">
        <v>50</v>
      </c>
      <c r="B3" s="25">
        <v>46267</v>
      </c>
      <c r="C3" t="s">
        <v>51</v>
      </c>
      <c r="D3" t="s">
        <v>14</v>
      </c>
      <c r="E3" t="s">
        <v>15</v>
      </c>
      <c r="F3">
        <v>20000</v>
      </c>
    </row>
    <row r="4" spans="1:6" x14ac:dyDescent="0.35">
      <c r="A4" t="s">
        <v>52</v>
      </c>
      <c r="B4" s="25">
        <v>46269</v>
      </c>
      <c r="C4" t="s">
        <v>49</v>
      </c>
      <c r="D4" t="s">
        <v>11</v>
      </c>
      <c r="E4" t="s">
        <v>20</v>
      </c>
      <c r="F4">
        <v>75000</v>
      </c>
    </row>
    <row r="5" spans="1:6" x14ac:dyDescent="0.35">
      <c r="A5" t="s">
        <v>53</v>
      </c>
      <c r="B5" s="25">
        <v>46270</v>
      </c>
      <c r="C5" t="s">
        <v>22</v>
      </c>
      <c r="D5" t="s">
        <v>22</v>
      </c>
      <c r="E5" t="s">
        <v>23</v>
      </c>
      <c r="F5">
        <v>8500</v>
      </c>
    </row>
    <row r="6" spans="1:6" x14ac:dyDescent="0.35">
      <c r="A6" t="s">
        <v>54</v>
      </c>
      <c r="B6" s="25">
        <v>46271</v>
      </c>
      <c r="C6" t="s">
        <v>49</v>
      </c>
      <c r="D6" t="s">
        <v>11</v>
      </c>
      <c r="E6" t="s">
        <v>25</v>
      </c>
      <c r="F6">
        <v>42000</v>
      </c>
    </row>
    <row r="7" spans="1:6" x14ac:dyDescent="0.35">
      <c r="A7" t="s">
        <v>55</v>
      </c>
      <c r="B7" s="25">
        <v>46272</v>
      </c>
      <c r="C7" t="s">
        <v>56</v>
      </c>
      <c r="D7" t="s">
        <v>27</v>
      </c>
      <c r="E7" t="s">
        <v>28</v>
      </c>
      <c r="F7">
        <v>6500</v>
      </c>
    </row>
    <row r="8" spans="1:6" x14ac:dyDescent="0.35">
      <c r="A8" t="s">
        <v>57</v>
      </c>
      <c r="B8" s="25">
        <v>46273</v>
      </c>
      <c r="C8" t="s">
        <v>49</v>
      </c>
      <c r="D8" t="s">
        <v>11</v>
      </c>
      <c r="E8" t="s">
        <v>30</v>
      </c>
      <c r="F8">
        <v>60000</v>
      </c>
    </row>
    <row r="9" spans="1:6" x14ac:dyDescent="0.35">
      <c r="A9" t="s">
        <v>58</v>
      </c>
      <c r="B9" s="25">
        <v>46275</v>
      </c>
      <c r="C9" t="s">
        <v>59</v>
      </c>
      <c r="D9" t="s">
        <v>34</v>
      </c>
      <c r="E9" t="s">
        <v>35</v>
      </c>
      <c r="F9">
        <v>12000</v>
      </c>
    </row>
    <row r="10" spans="1:6" x14ac:dyDescent="0.35">
      <c r="A10" t="s">
        <v>60</v>
      </c>
      <c r="B10" s="25">
        <v>46276</v>
      </c>
      <c r="C10" t="s">
        <v>49</v>
      </c>
      <c r="D10" t="s">
        <v>11</v>
      </c>
      <c r="E10" t="s">
        <v>37</v>
      </c>
      <c r="F10">
        <v>38000</v>
      </c>
    </row>
    <row r="11" spans="1:6" x14ac:dyDescent="0.35">
      <c r="A11" t="s">
        <v>61</v>
      </c>
      <c r="B11" s="25">
        <v>46277</v>
      </c>
      <c r="C11" t="s">
        <v>62</v>
      </c>
      <c r="D11" t="s">
        <v>39</v>
      </c>
      <c r="E11" t="s">
        <v>40</v>
      </c>
      <c r="F11">
        <v>15500</v>
      </c>
    </row>
    <row r="12" spans="1:6" x14ac:dyDescent="0.35">
      <c r="A12" t="s">
        <v>63</v>
      </c>
      <c r="B12" s="25">
        <v>46278</v>
      </c>
      <c r="C12" t="s">
        <v>49</v>
      </c>
      <c r="D12" t="s">
        <v>11</v>
      </c>
      <c r="E12" t="s">
        <v>42</v>
      </c>
      <c r="F12">
        <v>91000</v>
      </c>
    </row>
    <row r="13" spans="1:6" x14ac:dyDescent="0.35">
      <c r="A13" t="s">
        <v>64</v>
      </c>
      <c r="B13" s="25">
        <v>46279</v>
      </c>
      <c r="C13" t="s">
        <v>65</v>
      </c>
      <c r="D13" t="s">
        <v>44</v>
      </c>
      <c r="E13" t="s">
        <v>45</v>
      </c>
      <c r="F13">
        <v>28000</v>
      </c>
    </row>
    <row r="14" spans="1:6" x14ac:dyDescent="0.35">
      <c r="A14" t="s">
        <v>66</v>
      </c>
      <c r="B14" s="25">
        <v>46280</v>
      </c>
      <c r="C14" t="s">
        <v>49</v>
      </c>
      <c r="D14" t="s">
        <v>11</v>
      </c>
      <c r="E14" t="s">
        <v>47</v>
      </c>
      <c r="F14">
        <v>47000</v>
      </c>
    </row>
    <row r="15" spans="1:6" x14ac:dyDescent="0.35">
      <c r="A15" t="s">
        <v>67</v>
      </c>
      <c r="B15" s="25">
        <v>46281</v>
      </c>
      <c r="C15" t="s">
        <v>68</v>
      </c>
      <c r="D15" t="s">
        <v>69</v>
      </c>
      <c r="E15" t="s">
        <v>70</v>
      </c>
      <c r="F15">
        <v>10000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DA59C-2BD0-420E-A955-25002E20F707}">
  <dimension ref="A1:G17"/>
  <sheetViews>
    <sheetView workbookViewId="0">
      <selection activeCell="J12" sqref="J12"/>
    </sheetView>
  </sheetViews>
  <sheetFormatPr defaultRowHeight="14.5" x14ac:dyDescent="0.35"/>
  <cols>
    <col min="1" max="1" width="13.81640625" customWidth="1"/>
    <col min="2" max="2" width="13.1796875" customWidth="1"/>
    <col min="3" max="3" width="11.81640625" customWidth="1"/>
    <col min="4" max="4" width="11.1796875" customWidth="1"/>
    <col min="5" max="5" width="11.7265625" customWidth="1"/>
    <col min="6" max="6" width="16.6328125" customWidth="1"/>
    <col min="7" max="7" width="19.36328125" customWidth="1"/>
  </cols>
  <sheetData>
    <row r="1" spans="1:7" ht="15" customHeight="1" x14ac:dyDescent="0.35">
      <c r="A1" s="10" t="s">
        <v>9</v>
      </c>
      <c r="B1" s="2" t="s">
        <v>75</v>
      </c>
      <c r="C1" s="2" t="s">
        <v>72</v>
      </c>
      <c r="D1" s="2" t="s">
        <v>76</v>
      </c>
      <c r="E1" s="2" t="s">
        <v>77</v>
      </c>
      <c r="F1" s="2" t="s">
        <v>78</v>
      </c>
      <c r="G1" s="2" t="s">
        <v>2</v>
      </c>
    </row>
    <row r="2" spans="1:7" x14ac:dyDescent="0.35">
      <c r="A2" s="11" t="s">
        <v>12</v>
      </c>
      <c r="B2" s="3">
        <f>SUMIF('Bank Statement '!D:D,A2,'Bank Statement '!F:F)+SUMIF('Bank Statement '!D:D,A2,'Bank Statement '!E:E)</f>
        <v>50000</v>
      </c>
      <c r="C2" s="3">
        <f>SUMIF('General Ledger'!E:E,A2, 'General Ledger'!F:F)</f>
        <v>50000</v>
      </c>
      <c r="D2" s="3">
        <f>B2-C2</f>
        <v>0</v>
      </c>
      <c r="E2" s="3" t="str">
        <f>IF(D2=0,"Mattched","Exception")</f>
        <v>Mattched</v>
      </c>
      <c r="F2" s="3" t="str">
        <f>IF(B2=0,"GL Only",IF(C2=0,"Bank Only", IF(B2&lt;&gt;C2,Amount F3,"")))</f>
        <v/>
      </c>
      <c r="G2" s="3" t="str">
        <f>IFERROR(INDEX('Bank Statement '!C:C,MATCH(A2,'Bank Statement '!D:D,0)),IFERROR(INDEX('General Ledger'!D:D,MATCH(A2,'General Ledger'!E:E,0)),""))</f>
        <v>Customer Receipt</v>
      </c>
    </row>
    <row r="3" spans="1:7" x14ac:dyDescent="0.35">
      <c r="A3" s="11" t="s">
        <v>15</v>
      </c>
      <c r="B3" s="3">
        <f>SUMIF('Bank Statement '!D:D,A3,'Bank Statement '!F:F)+SUMIF('Bank Statement '!D:D,A3,'Bank Statement '!E:E)</f>
        <v>20000</v>
      </c>
      <c r="C3" s="3">
        <f>SUMIF('General Ledger'!E:E,A3, 'General Ledger'!F:F)</f>
        <v>20000</v>
      </c>
      <c r="D3" s="3">
        <f t="shared" ref="D3:D16" si="0">B3-C3</f>
        <v>0</v>
      </c>
      <c r="E3" s="3" t="str">
        <f t="shared" ref="E3:E17" si="1">IF(D3=0,"Mattched","Exception")</f>
        <v>Mattched</v>
      </c>
      <c r="F3" s="3" t="str">
        <f>IF(B3=0,"GL Only",IF(C3=0,"Bank Only", IF(B3&lt;&gt;C3,Amount F4,"")))</f>
        <v/>
      </c>
      <c r="G3" s="3" t="str">
        <f>IFERROR(INDEX('Bank Statement '!C:C,MATCH(A3,'Bank Statement '!D:D,0)),IFERROR(INDEX('General Ledger'!D:D,MATCH(A3,'General Ledger'!E:E,0)),""))</f>
        <v>Rent Payment</v>
      </c>
    </row>
    <row r="4" spans="1:7" x14ac:dyDescent="0.35">
      <c r="A4" s="11" t="s">
        <v>18</v>
      </c>
      <c r="B4" s="3">
        <f>SUMIF('Bank Statement '!D:D,A4,'Bank Statement '!F:F)+SUMIF('Bank Statement '!D:D,A4,'Bank Statement '!E:E)</f>
        <v>500</v>
      </c>
      <c r="C4" s="3">
        <f>SUMIF('General Ledger'!E:E,A4, 'General Ledger'!F:F)</f>
        <v>0</v>
      </c>
      <c r="D4" s="3">
        <f t="shared" si="0"/>
        <v>500</v>
      </c>
      <c r="E4" s="3" t="str">
        <f t="shared" si="1"/>
        <v>Exception</v>
      </c>
      <c r="F4" s="3" t="str">
        <f>IF(B4=0,"GL Only",IF(C4=0,"Bank Only", IF(B4&lt;&gt;C4,Amount F5,"")))</f>
        <v>Bank Only</v>
      </c>
      <c r="G4" s="3" t="str">
        <f>IFERROR(INDEX('Bank Statement '!C:C,MATCH(A4,'Bank Statement '!D:D,0)),IFERROR(INDEX('General Ledger'!D:D,MATCH(A4,'General Ledger'!E:E,0)),""))</f>
        <v>Bank Charges</v>
      </c>
    </row>
    <row r="5" spans="1:7" x14ac:dyDescent="0.35">
      <c r="A5" s="11" t="s">
        <v>20</v>
      </c>
      <c r="B5" s="3">
        <f>SUMIF('Bank Statement '!D:D,A5,'Bank Statement '!F:F)+SUMIF('Bank Statement '!D:D,A5,'Bank Statement '!E:E)</f>
        <v>75000</v>
      </c>
      <c r="C5" s="3">
        <f>SUMIF('General Ledger'!E:E,A5, 'General Ledger'!F:F)</f>
        <v>75000</v>
      </c>
      <c r="D5" s="3">
        <f t="shared" si="0"/>
        <v>0</v>
      </c>
      <c r="E5" s="3" t="str">
        <f t="shared" si="1"/>
        <v>Mattched</v>
      </c>
      <c r="F5" s="3" t="str">
        <f>IF(B5=0,"GL Only",IF(C5=0,"Bank Only", IF(B5&lt;&gt;C5,Amount F6,"")))</f>
        <v/>
      </c>
      <c r="G5" s="3" t="str">
        <f>IFERROR(INDEX('Bank Statement '!C:C,MATCH(A5,'Bank Statement '!D:D,0)),IFERROR(INDEX('General Ledger'!D:D,MATCH(A5,'General Ledger'!E:E,0)),""))</f>
        <v>Customer Receipt</v>
      </c>
    </row>
    <row r="6" spans="1:7" x14ac:dyDescent="0.35">
      <c r="A6" s="11" t="s">
        <v>23</v>
      </c>
      <c r="B6" s="3">
        <f>SUMIF('Bank Statement '!D:D,A6,'Bank Statement '!F:F)+SUMIF('Bank Statement '!D:D,A6,'Bank Statement '!E:E)</f>
        <v>8500</v>
      </c>
      <c r="C6" s="3">
        <f>SUMIF('General Ledger'!E:E,A6, 'General Ledger'!F:F)</f>
        <v>8500</v>
      </c>
      <c r="D6" s="3">
        <f t="shared" si="0"/>
        <v>0</v>
      </c>
      <c r="E6" s="3" t="str">
        <f t="shared" si="1"/>
        <v>Mattched</v>
      </c>
      <c r="F6" s="3" t="str">
        <f>IF(B6=0,"GL Only",IF(C6=0,"Bank Only", IF(B6&lt;&gt;C6,Amount F7,"")))</f>
        <v/>
      </c>
      <c r="G6" s="3" t="str">
        <f>IFERROR(INDEX('Bank Statement '!C:C,MATCH(A6,'Bank Statement '!D:D,0)),IFERROR(INDEX('General Ledger'!D:D,MATCH(A6,'General Ledger'!E:E,0)),""))</f>
        <v>Office Supplies</v>
      </c>
    </row>
    <row r="7" spans="1:7" x14ac:dyDescent="0.35">
      <c r="A7" s="11" t="s">
        <v>25</v>
      </c>
      <c r="B7" s="3">
        <f>SUMIF('Bank Statement '!D:D,A7,'Bank Statement '!F:F)+SUMIF('Bank Statement '!D:D,A7,'Bank Statement '!E:E)</f>
        <v>42000</v>
      </c>
      <c r="C7" s="3">
        <f>SUMIF('General Ledger'!E:E,A7, 'General Ledger'!F:F)</f>
        <v>42000</v>
      </c>
      <c r="D7" s="3">
        <f t="shared" si="0"/>
        <v>0</v>
      </c>
      <c r="E7" s="3" t="str">
        <f t="shared" si="1"/>
        <v>Mattched</v>
      </c>
      <c r="F7" s="3" t="str">
        <f>IF(B7=0,"GL Only",IF(C7=0,"Bank Only", IF(B7&lt;&gt;C7,Amount F8,"")))</f>
        <v/>
      </c>
      <c r="G7" s="3" t="str">
        <f>IFERROR(INDEX('Bank Statement '!C:C,MATCH(A7,'Bank Statement '!D:D,0)),IFERROR(INDEX('General Ledger'!D:D,MATCH(A7,'General Ledger'!E:E,0)),""))</f>
        <v>Customer Receipt</v>
      </c>
    </row>
    <row r="8" spans="1:7" x14ac:dyDescent="0.35">
      <c r="A8" s="3" t="s">
        <v>28</v>
      </c>
      <c r="B8" s="3">
        <f>SUMIF('Bank Statement '!D:D,A8,'Bank Statement '!F:F)+SUMIF('Bank Statement '!D:D,A8,'Bank Statement '!E:E)</f>
        <v>6500</v>
      </c>
      <c r="C8" s="3">
        <f>SUMIF('General Ledger'!E:E,A8, 'General Ledger'!F:F)</f>
        <v>6500</v>
      </c>
      <c r="D8" s="3">
        <f t="shared" si="0"/>
        <v>0</v>
      </c>
      <c r="E8" s="3" t="str">
        <f t="shared" si="1"/>
        <v>Mattched</v>
      </c>
      <c r="F8" s="3" t="str">
        <f>IF(B8=0,"GL Only",IF(C8=0,"Bank Only", IF(B8&lt;&gt;C8,Amount F9,"")))</f>
        <v/>
      </c>
      <c r="G8" s="3" t="str">
        <f>IFERROR(INDEX('Bank Statement '!C:C,MATCH(A8,'Bank Statement '!D:D,0)),IFERROR(INDEX('General Ledger'!D:D,MATCH(A8,'General Ledger'!E:E,0)),""))</f>
        <v>Utility Payment</v>
      </c>
    </row>
    <row r="9" spans="1:7" x14ac:dyDescent="0.35">
      <c r="A9" s="3" t="s">
        <v>30</v>
      </c>
      <c r="B9" s="3">
        <f>SUMIF('Bank Statement '!D:D,A9,'Bank Statement '!F:F)+SUMIF('Bank Statement '!D:D,A9,'Bank Statement '!E:E)</f>
        <v>62000</v>
      </c>
      <c r="C9" s="3">
        <f>SUMIF('General Ledger'!E:E,A9, 'General Ledger'!F:F)</f>
        <v>60000</v>
      </c>
      <c r="D9" s="3">
        <f t="shared" si="0"/>
        <v>2000</v>
      </c>
      <c r="E9" s="3" t="str">
        <f t="shared" si="1"/>
        <v>Exception</v>
      </c>
      <c r="F9" s="3" t="str">
        <f>IF(C9=0,"GL Only","Amount Mismatch")</f>
        <v>Amount Mismatch</v>
      </c>
      <c r="G9" s="3" t="str">
        <f>IFERROR(INDEX('Bank Statement '!C:C,MATCH(A9,'Bank Statement '!D:D,0)),IFERROR(INDEX('General Ledger'!D:D,MATCH(A9,'General Ledger'!E:E,0)),""))</f>
        <v>Customer Receipt</v>
      </c>
    </row>
    <row r="10" spans="1:7" x14ac:dyDescent="0.35">
      <c r="A10" s="3" t="s">
        <v>32</v>
      </c>
      <c r="B10" s="3">
        <f>SUMIF('Bank Statement '!D:D,A10,'Bank Statement '!F:F)+SUMIF('Bank Statement '!D:D,A10,'Bank Statement '!E:E)</f>
        <v>750</v>
      </c>
      <c r="C10" s="3">
        <f>SUMIF('General Ledger'!E:E,A10, 'General Ledger'!F:F)</f>
        <v>0</v>
      </c>
      <c r="D10" s="3">
        <f t="shared" si="0"/>
        <v>750</v>
      </c>
      <c r="E10" s="3" t="str">
        <f t="shared" si="1"/>
        <v>Exception</v>
      </c>
      <c r="F10" s="3" t="str">
        <f>IF(B10=0,"GL Only",IF(C10=0,"Bank Only", IF(B10&lt;&gt;C10,Amount F11,"")))</f>
        <v>Bank Only</v>
      </c>
      <c r="G10" s="3" t="str">
        <f>IFERROR(INDEX('Bank Statement '!C:C,MATCH(A10,'Bank Statement '!D:D,0)),IFERROR(INDEX('General Ledger'!D:D,MATCH(A10,'General Ledger'!E:E,0)),""))</f>
        <v>Bank Charges</v>
      </c>
    </row>
    <row r="11" spans="1:7" x14ac:dyDescent="0.35">
      <c r="A11" s="3" t="s">
        <v>35</v>
      </c>
      <c r="B11" s="3">
        <f>SUMIF('Bank Statement '!D:D,A11,'Bank Statement '!F:F)+SUMIF('Bank Statement '!D:D,A11,'Bank Statement '!E:E)</f>
        <v>12000</v>
      </c>
      <c r="C11" s="3">
        <f>SUMIF('General Ledger'!E:E,A11, 'General Ledger'!F:F)</f>
        <v>12000</v>
      </c>
      <c r="D11" s="3">
        <f t="shared" si="0"/>
        <v>0</v>
      </c>
      <c r="E11" s="3" t="str">
        <f t="shared" si="1"/>
        <v>Mattched</v>
      </c>
      <c r="F11" s="3" t="str">
        <f>IF(B11=0,"GL Only",IF(C11=0,"Bank Only", IF(B11&lt;&gt;C11,Amount F12,"")))</f>
        <v/>
      </c>
      <c r="G11" s="3" t="str">
        <f>IFERROR(INDEX('Bank Statement '!C:C,MATCH(A11,'Bank Statement '!D:D,0)),IFERROR(INDEX('General Ledger'!D:D,MATCH(A11,'General Ledger'!E:E,0)),""))</f>
        <v>Insurance Payment</v>
      </c>
    </row>
    <row r="12" spans="1:7" x14ac:dyDescent="0.35">
      <c r="A12" s="3" t="s">
        <v>37</v>
      </c>
      <c r="B12" s="3">
        <f>SUMIF('Bank Statement '!D:D,A12,'Bank Statement '!F:F)+SUMIF('Bank Statement '!D:D,A12,'Bank Statement '!E:E)</f>
        <v>38000</v>
      </c>
      <c r="C12" s="3">
        <f>SUMIF('General Ledger'!E:E,A12, 'General Ledger'!F:F)</f>
        <v>38000</v>
      </c>
      <c r="D12" s="3">
        <f t="shared" si="0"/>
        <v>0</v>
      </c>
      <c r="E12" s="3" t="str">
        <f t="shared" si="1"/>
        <v>Mattched</v>
      </c>
      <c r="F12" s="3" t="str">
        <f>IF(B12=0,"GL Only",IF(C12=0,"Bank Only", IF(B12&lt;&gt;C12,Amount F13,"")))</f>
        <v/>
      </c>
      <c r="G12" s="3" t="str">
        <f>IFERROR(INDEX('Bank Statement '!C:C,MATCH(A12,'Bank Statement '!D:D,0)),IFERROR(INDEX('General Ledger'!D:D,MATCH(A12,'General Ledger'!E:E,0)),""))</f>
        <v>Customer Receipt</v>
      </c>
    </row>
    <row r="13" spans="1:7" x14ac:dyDescent="0.35">
      <c r="A13" s="3" t="s">
        <v>40</v>
      </c>
      <c r="B13" s="3">
        <f>SUMIF('Bank Statement '!D:D,A13,'Bank Statement '!F:F)+SUMIF('Bank Statement '!D:D,A13,'Bank Statement '!E:E)</f>
        <v>15500</v>
      </c>
      <c r="C13" s="3">
        <f>SUMIF('General Ledger'!E:E,A13, 'General Ledger'!F:F)</f>
        <v>15500</v>
      </c>
      <c r="D13" s="3">
        <f t="shared" si="0"/>
        <v>0</v>
      </c>
      <c r="E13" s="3" t="str">
        <f t="shared" si="1"/>
        <v>Mattched</v>
      </c>
      <c r="F13" s="3" t="str">
        <f>IF(B13=0,"GL Only",IF(C13=0,"Bank Only", IF(B13&lt;&gt;C13,Amount F14,"")))</f>
        <v/>
      </c>
      <c r="G13" s="3" t="str">
        <f>IFERROR(INDEX('Bank Statement '!C:C,MATCH(A13,'Bank Statement '!D:D,0)),IFERROR(INDEX('General Ledger'!D:D,MATCH(A13,'General Ledger'!E:E,0)),""))</f>
        <v>Supplier Payment</v>
      </c>
    </row>
    <row r="14" spans="1:7" x14ac:dyDescent="0.35">
      <c r="A14" s="3" t="s">
        <v>42</v>
      </c>
      <c r="B14" s="3">
        <f>SUMIF('Bank Statement '!D:D,A14,'Bank Statement '!F:F)+SUMIF('Bank Statement '!D:D,A14,'Bank Statement '!E:E)</f>
        <v>91000</v>
      </c>
      <c r="C14" s="3">
        <f>SUMIF('General Ledger'!E:E,A14, 'General Ledger'!F:F)</f>
        <v>91000</v>
      </c>
      <c r="D14" s="3">
        <f t="shared" si="0"/>
        <v>0</v>
      </c>
      <c r="E14" s="3" t="str">
        <f t="shared" si="1"/>
        <v>Mattched</v>
      </c>
      <c r="F14" s="3" t="str">
        <f>IF(B14=0,"GL Only",IF(C14=0,"Bank Only", IF(B14&lt;&gt;C14,Amount F15,"")))</f>
        <v/>
      </c>
      <c r="G14" s="3" t="str">
        <f>IFERROR(INDEX('Bank Statement '!C:C,MATCH(A14,'Bank Statement '!D:D,0)),IFERROR(INDEX('General Ledger'!D:D,MATCH(A14,'General Ledger'!E:E,0)),""))</f>
        <v>Customer Receipt</v>
      </c>
    </row>
    <row r="15" spans="1:7" x14ac:dyDescent="0.35">
      <c r="A15" s="3" t="s">
        <v>45</v>
      </c>
      <c r="B15" s="3">
        <f>SUMIF('Bank Statement '!D:D,A15,'Bank Statement '!F:F)+SUMIF('Bank Statement '!D:D,A15,'Bank Statement '!E:E)</f>
        <v>28000</v>
      </c>
      <c r="C15" s="3">
        <f>SUMIF('General Ledger'!E:E,A15, 'General Ledger'!F:F)</f>
        <v>28000</v>
      </c>
      <c r="D15" s="3">
        <f t="shared" si="0"/>
        <v>0</v>
      </c>
      <c r="E15" s="3" t="str">
        <f t="shared" si="1"/>
        <v>Mattched</v>
      </c>
      <c r="F15" s="3" t="str">
        <f>IF(B15=0,"GL Only",IF(C15=0,"Bank Only", IF(B15&lt;&gt;C15,Amount F16,"")))</f>
        <v/>
      </c>
      <c r="G15" s="3" t="str">
        <f>IFERROR(INDEX('Bank Statement '!C:C,MATCH(A15,'Bank Statement '!D:D,0)),IFERROR(INDEX('General Ledger'!D:D,MATCH(A15,'General Ledger'!E:E,0)),""))</f>
        <v>Payroll Payment</v>
      </c>
    </row>
    <row r="16" spans="1:7" x14ac:dyDescent="0.35">
      <c r="A16" s="3" t="s">
        <v>47</v>
      </c>
      <c r="B16" s="3">
        <f>SUMIF('Bank Statement '!D:D,A16,'Bank Statement '!F:F)+SUMIF('Bank Statement '!D:D,A16,'Bank Statement '!E:E)</f>
        <v>47000</v>
      </c>
      <c r="C16" s="3">
        <f>SUMIF('General Ledger'!E:E,A16, 'General Ledger'!F:F)</f>
        <v>47000</v>
      </c>
      <c r="D16" s="3">
        <f t="shared" si="0"/>
        <v>0</v>
      </c>
      <c r="E16" s="3" t="str">
        <f t="shared" si="1"/>
        <v>Mattched</v>
      </c>
      <c r="F16" s="3" t="str">
        <f>IF(B16=0,"GL Only",IF(C16=0,"Bank Only", IF(B16&lt;&gt;C16,Amount F17,"")))</f>
        <v/>
      </c>
      <c r="G16" s="3" t="str">
        <f>IFERROR(INDEX('Bank Statement '!C:C,MATCH(A16,'Bank Statement '!D:D,0)),IFERROR(INDEX('General Ledger'!D:D,MATCH(A16,'General Ledger'!E:E,0)),""))</f>
        <v>Customer Receipt</v>
      </c>
    </row>
    <row r="17" spans="1:7" x14ac:dyDescent="0.35">
      <c r="A17" s="3" t="s">
        <v>70</v>
      </c>
      <c r="B17" s="3">
        <v>0</v>
      </c>
      <c r="C17" s="3">
        <v>10000</v>
      </c>
      <c r="D17" s="3">
        <f>B17-C17</f>
        <v>-10000</v>
      </c>
      <c r="E17" s="3" t="str">
        <f t="shared" si="1"/>
        <v>Exception</v>
      </c>
      <c r="F17" s="3" t="str">
        <f>IF(B17=0,"GL Only",IF(C17=0,"Bank Only", IF(B17&lt;&gt;C17,Amount F18,"")))</f>
        <v>GL Only</v>
      </c>
      <c r="G17" s="3" t="str">
        <f>IFERROR(INDEX('Bank Statement '!C:C,MATCH(A17,'Bank Statement '!D:D,0)),IFERROR(INDEX('General Ledger'!D:D,MATCH(A17,'General Ledger'!E:E,0)),""))</f>
        <v>Consulting Payment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9C6E-C913-44BD-AEA9-E0CBA59CA6B9}">
  <dimension ref="A1:G5"/>
  <sheetViews>
    <sheetView workbookViewId="0">
      <selection activeCell="J2" sqref="J2"/>
    </sheetView>
  </sheetViews>
  <sheetFormatPr defaultRowHeight="14.5" x14ac:dyDescent="0.35"/>
  <cols>
    <col min="1" max="1" width="12.54296875" customWidth="1"/>
    <col min="2" max="2" width="13.6328125" style="6" customWidth="1"/>
    <col min="3" max="3" width="14.08984375" style="6" customWidth="1"/>
    <col min="4" max="4" width="15.08984375" style="6" customWidth="1"/>
    <col min="5" max="5" width="16" customWidth="1"/>
    <col min="6" max="6" width="18.08984375" customWidth="1"/>
    <col min="7" max="7" width="60.26953125" style="9" customWidth="1"/>
  </cols>
  <sheetData>
    <row r="1" spans="1:7" x14ac:dyDescent="0.35">
      <c r="A1" s="2" t="s">
        <v>9</v>
      </c>
      <c r="B1" s="4" t="s">
        <v>71</v>
      </c>
      <c r="C1" s="4" t="s">
        <v>72</v>
      </c>
      <c r="D1" s="4" t="s">
        <v>79</v>
      </c>
      <c r="E1" s="2" t="s">
        <v>74</v>
      </c>
      <c r="F1" s="2" t="s">
        <v>2</v>
      </c>
      <c r="G1" s="7" t="s">
        <v>80</v>
      </c>
    </row>
    <row r="2" spans="1:7" ht="36" customHeight="1" x14ac:dyDescent="0.35">
      <c r="A2" s="3" t="s">
        <v>18</v>
      </c>
      <c r="B2" s="5">
        <f>INDEX(Reconciliation!B:B,MATCH(A2,Reconciliation!A:A,0))</f>
        <v>500</v>
      </c>
      <c r="C2" s="5">
        <f>INDEX(Reconciliation!C:C,MATCH(A2,Reconciliation!A:A,0))</f>
        <v>0</v>
      </c>
      <c r="D2" s="5">
        <f>INDEX(Reconciliation!D:D,MATCH(A2,Reconciliation!A:A,0))</f>
        <v>500</v>
      </c>
      <c r="E2" s="3" t="str">
        <f>INDEX(Reconciliation!F:F,MATCH(A2,Reconciliation!A:A,0))</f>
        <v>Bank Only</v>
      </c>
      <c r="F2" s="3" t="str">
        <f>INDEX(Reconciliation!G:G,MATCH(A2,Reconciliation!A:A,0))</f>
        <v>Bank Charges</v>
      </c>
      <c r="G2" s="8" t="s">
        <v>81</v>
      </c>
    </row>
    <row r="3" spans="1:7" ht="40" customHeight="1" x14ac:dyDescent="0.35">
      <c r="A3" s="3" t="s">
        <v>30</v>
      </c>
      <c r="B3" s="5">
        <f>INDEX(Reconciliation!B:B,MATCH(A3,Reconciliation!A:A,0))</f>
        <v>62000</v>
      </c>
      <c r="C3" s="5">
        <f>INDEX(Reconciliation!C:C,MATCH(A3,Reconciliation!A:A,0))</f>
        <v>60000</v>
      </c>
      <c r="D3" s="5">
        <f>INDEX(Reconciliation!D:D,MATCH(A3,Reconciliation!A:A,0))</f>
        <v>2000</v>
      </c>
      <c r="E3" s="3" t="str">
        <f>INDEX(Reconciliation!F:F,MATCH(A3,Reconciliation!A:A,0))</f>
        <v>Amount Mismatch</v>
      </c>
      <c r="F3" s="3" t="str">
        <f>INDEX(Reconciliation!G:G,MATCH(A3,Reconciliation!A:A,0))</f>
        <v>Customer Receipt</v>
      </c>
      <c r="G3" s="8" t="s">
        <v>82</v>
      </c>
    </row>
    <row r="4" spans="1:7" ht="39.5" customHeight="1" x14ac:dyDescent="0.35">
      <c r="A4" s="3" t="s">
        <v>32</v>
      </c>
      <c r="B4" s="5">
        <f>INDEX(Reconciliation!B:B,MATCH(A4,Reconciliation!A:A,0))</f>
        <v>750</v>
      </c>
      <c r="C4" s="5">
        <f>INDEX(Reconciliation!C:C,MATCH(A4,Reconciliation!A:A,0))</f>
        <v>0</v>
      </c>
      <c r="D4" s="5">
        <f>INDEX(Reconciliation!D:D,MATCH(A4,Reconciliation!A:A,0))</f>
        <v>750</v>
      </c>
      <c r="E4" s="3" t="str">
        <f>INDEX(Reconciliation!F:F,MATCH(A4,Reconciliation!A:A,0))</f>
        <v>Bank Only</v>
      </c>
      <c r="F4" s="3" t="str">
        <f>INDEX(Reconciliation!G:G,MATCH(A4,Reconciliation!A:A,0))</f>
        <v>Bank Charges</v>
      </c>
      <c r="G4" s="8" t="s">
        <v>83</v>
      </c>
    </row>
    <row r="5" spans="1:7" ht="49.5" customHeight="1" x14ac:dyDescent="0.35">
      <c r="A5" s="3" t="s">
        <v>70</v>
      </c>
      <c r="B5" s="5">
        <f>INDEX(Reconciliation!B:B,MATCH(A5,Reconciliation!A:A,0))</f>
        <v>0</v>
      </c>
      <c r="C5" s="5">
        <f>INDEX(Reconciliation!C:C,MATCH(A5,Reconciliation!A:A,0))</f>
        <v>10000</v>
      </c>
      <c r="D5" s="5">
        <f>INDEX(Reconciliation!D:D,MATCH(A5,Reconciliation!A:A,0))</f>
        <v>-10000</v>
      </c>
      <c r="E5" s="3" t="str">
        <f>INDEX(Reconciliation!F:F,MATCH(A5,Reconciliation!A:A,0))</f>
        <v>GL Only</v>
      </c>
      <c r="F5" s="3" t="str">
        <f>INDEX(Reconciliation!G:G,MATCH(A5,Reconciliation!A:A,0))</f>
        <v>Consulting Payment</v>
      </c>
      <c r="G5" s="8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96BD2-27C2-4AEF-9F14-BB31900FECE0}">
  <dimension ref="A1:B12"/>
  <sheetViews>
    <sheetView workbookViewId="0">
      <selection activeCell="G17" sqref="G17"/>
    </sheetView>
  </sheetViews>
  <sheetFormatPr defaultRowHeight="14.5" x14ac:dyDescent="0.35"/>
  <cols>
    <col min="1" max="1" width="35.08984375" customWidth="1"/>
    <col min="2" max="2" width="80.54296875" customWidth="1"/>
  </cols>
  <sheetData>
    <row r="1" spans="1:2" x14ac:dyDescent="0.35">
      <c r="A1" s="1" t="s">
        <v>85</v>
      </c>
    </row>
    <row r="3" spans="1:2" x14ac:dyDescent="0.35">
      <c r="A3" s="1" t="s">
        <v>86</v>
      </c>
      <c r="B3">
        <f>COUNTA(Reconciliation!A2:A17)</f>
        <v>16</v>
      </c>
    </row>
    <row r="4" spans="1:2" x14ac:dyDescent="0.35">
      <c r="A4" s="1" t="s">
        <v>87</v>
      </c>
      <c r="B4">
        <f>COUNTIF(Reconciliation!D2:D17,0)</f>
        <v>12</v>
      </c>
    </row>
    <row r="5" spans="1:2" x14ac:dyDescent="0.35">
      <c r="A5" s="1" t="s">
        <v>88</v>
      </c>
      <c r="B5">
        <f>COUNTIF(Reconciliation!D2:D17,"&lt;&gt;0")</f>
        <v>4</v>
      </c>
    </row>
    <row r="6" spans="1:2" x14ac:dyDescent="0.35">
      <c r="A6" s="1" t="s">
        <v>89</v>
      </c>
      <c r="B6" s="13">
        <f>B4/B3</f>
        <v>0.75</v>
      </c>
    </row>
    <row r="7" spans="1:2" x14ac:dyDescent="0.35">
      <c r="A7" s="1" t="s">
        <v>90</v>
      </c>
      <c r="B7">
        <f>COUNTIFS(Reconciliation!D2:D17,"&gt;0",Reconciliation!C2:C17,0)</f>
        <v>2</v>
      </c>
    </row>
    <row r="8" spans="1:2" x14ac:dyDescent="0.35">
      <c r="A8" s="1" t="s">
        <v>91</v>
      </c>
      <c r="B8">
        <f>COUNTIFS(Reconciliation!D2:D17,"&lt;0",Reconciliation!B2:B17,0)</f>
        <v>1</v>
      </c>
    </row>
    <row r="9" spans="1:2" x14ac:dyDescent="0.35">
      <c r="A9" s="1" t="s">
        <v>92</v>
      </c>
      <c r="B9">
        <f>COUNTIFS(Reconciliation!D2:D17,"&lt;&gt;0",Reconciliation!B2:B17,"&gt;0",Reconciliation!C2:C17,"&gt;0")</f>
        <v>1</v>
      </c>
    </row>
    <row r="10" spans="1:2" x14ac:dyDescent="0.35">
      <c r="A10" s="1" t="s">
        <v>93</v>
      </c>
      <c r="B10" s="14">
        <f>SUM(Exceptions!D2:D5)</f>
        <v>-6750</v>
      </c>
    </row>
    <row r="11" spans="1:2" x14ac:dyDescent="0.35">
      <c r="A11" s="1" t="s">
        <v>94</v>
      </c>
      <c r="B11" s="14">
        <f>SUMPRODUCT(ABS(Exceptions!D2:D5))</f>
        <v>13250</v>
      </c>
    </row>
    <row r="12" spans="1:2" ht="62.5" customHeight="1" x14ac:dyDescent="0.35">
      <c r="A12" s="1" t="s">
        <v>96</v>
      </c>
      <c r="B12" s="9" t="s">
        <v>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B72D7A-9CC7-4C52-808E-8EAEA9948E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Bank Statement </vt:lpstr>
      <vt:lpstr>General Ledger</vt:lpstr>
      <vt:lpstr>BankData</vt:lpstr>
      <vt:lpstr>GLData</vt:lpstr>
      <vt:lpstr>Reconciliation</vt:lpstr>
      <vt:lpstr>Exceptions</vt:lpstr>
      <vt:lpstr>Management 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AMITKANADE</dc:creator>
  <cp:lastModifiedBy>Gayathri AMITKANADE</cp:lastModifiedBy>
  <dcterms:created xsi:type="dcterms:W3CDTF">2026-09-08T17:48:03Z</dcterms:created>
  <dcterms:modified xsi:type="dcterms:W3CDTF">2026-09-09T17:49:04Z</dcterms:modified>
</cp:coreProperties>
</file>