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nk Statement " sheetId="1" state="visible" r:id="rId3"/>
    <sheet name="General Ledger" sheetId="2" state="visible" r:id="rId4"/>
    <sheet name="BankData" sheetId="3" state="visible" r:id="rId5"/>
    <sheet name="GLData" sheetId="4" state="visible" r:id="rId6"/>
    <sheet name="Reconciliation" sheetId="5" state="visible" r:id="rId7"/>
    <sheet name="Exceptions" sheetId="6" state="visible" r:id="rId8"/>
    <sheet name="Management Summary " sheetId="7" state="visible" r:id="rId9"/>
  </sheets>
  <definedNames>
    <definedName function="false" hidden="true" localSheetId="2" name="ExternalData_1" vbProcedure="false">BankData!$A$1:$M$17</definedName>
    <definedName function="false" hidden="true" localSheetId="3" name="ExternalData_1" vbProcedure="false">GLData!$A$1:$F$15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<sst xmlns="http://schemas.openxmlformats.org/spreadsheetml/2006/main" count="342" uniqueCount="102">
  <si>
    <t xml:space="preserve">Transaction ID</t>
  </si>
  <si>
    <t xml:space="preserve">Date</t>
  </si>
  <si>
    <t xml:space="preserve">Description</t>
  </si>
  <si>
    <t xml:space="preserve">Reference</t>
  </si>
  <si>
    <t xml:space="preserve">Debit</t>
  </si>
  <si>
    <t xml:space="preserve">Credit</t>
  </si>
  <si>
    <t xml:space="preserve">B001</t>
  </si>
  <si>
    <t xml:space="preserve">Customer Receipt</t>
  </si>
  <si>
    <t xml:space="preserve">INV1001</t>
  </si>
  <si>
    <t xml:space="preserve">B002</t>
  </si>
  <si>
    <t xml:space="preserve">Rent Payment</t>
  </si>
  <si>
    <t xml:space="preserve">RENT0901</t>
  </si>
  <si>
    <t xml:space="preserve">B003</t>
  </si>
  <si>
    <t xml:space="preserve">Bank Charges</t>
  </si>
  <si>
    <t xml:space="preserve">CHG0901</t>
  </si>
  <si>
    <t xml:space="preserve">B004</t>
  </si>
  <si>
    <t xml:space="preserve">INV1002</t>
  </si>
  <si>
    <t xml:space="preserve">B005</t>
  </si>
  <si>
    <t xml:space="preserve">Office Supplies</t>
  </si>
  <si>
    <t xml:space="preserve">OFF0901</t>
  </si>
  <si>
    <t xml:space="preserve">B006</t>
  </si>
  <si>
    <t xml:space="preserve">INV1003</t>
  </si>
  <si>
    <t xml:space="preserve">B007</t>
  </si>
  <si>
    <t xml:space="preserve">Utility Payment</t>
  </si>
  <si>
    <t xml:space="preserve">UTIL0901</t>
  </si>
  <si>
    <t xml:space="preserve">B008</t>
  </si>
  <si>
    <t xml:space="preserve">INV1004</t>
  </si>
  <si>
    <t xml:space="preserve">B009</t>
  </si>
  <si>
    <t xml:space="preserve">CHG0902</t>
  </si>
  <si>
    <t xml:space="preserve">B010</t>
  </si>
  <si>
    <t xml:space="preserve">Insurance Payment</t>
  </si>
  <si>
    <t xml:space="preserve">INS0901</t>
  </si>
  <si>
    <t xml:space="preserve">B011</t>
  </si>
  <si>
    <t xml:space="preserve">INV1005</t>
  </si>
  <si>
    <t xml:space="preserve">B012</t>
  </si>
  <si>
    <t xml:space="preserve">Supplier Payment</t>
  </si>
  <si>
    <t xml:space="preserve">SUP0901</t>
  </si>
  <si>
    <t xml:space="preserve">B013</t>
  </si>
  <si>
    <t xml:space="preserve">INV1006</t>
  </si>
  <si>
    <t xml:space="preserve">B014</t>
  </si>
  <si>
    <t xml:space="preserve">Payroll Payment</t>
  </si>
  <si>
    <t xml:space="preserve">PAY0901</t>
  </si>
  <si>
    <t xml:space="preserve">B015</t>
  </si>
  <si>
    <t xml:space="preserve">INV1007</t>
  </si>
  <si>
    <t xml:space="preserve">GL ID</t>
  </si>
  <si>
    <t xml:space="preserve">Account</t>
  </si>
  <si>
    <t xml:space="preserve">Reference </t>
  </si>
  <si>
    <t xml:space="preserve">Amount</t>
  </si>
  <si>
    <t xml:space="preserve">GL001</t>
  </si>
  <si>
    <t xml:space="preserve">Accounts Receivable</t>
  </si>
  <si>
    <t xml:space="preserve">GL002</t>
  </si>
  <si>
    <t xml:space="preserve">Rent Expense</t>
  </si>
  <si>
    <t xml:space="preserve">GL003</t>
  </si>
  <si>
    <t xml:space="preserve">GL004</t>
  </si>
  <si>
    <t xml:space="preserve">GL005</t>
  </si>
  <si>
    <t xml:space="preserve">GL006</t>
  </si>
  <si>
    <t xml:space="preserve">Utilities</t>
  </si>
  <si>
    <t xml:space="preserve">GL007</t>
  </si>
  <si>
    <t xml:space="preserve">GL008</t>
  </si>
  <si>
    <t xml:space="preserve">Insurance Expense</t>
  </si>
  <si>
    <t xml:space="preserve">GL009</t>
  </si>
  <si>
    <t xml:space="preserve">GL010</t>
  </si>
  <si>
    <t xml:space="preserve">Accounts Payable</t>
  </si>
  <si>
    <t xml:space="preserve">GL011</t>
  </si>
  <si>
    <t xml:space="preserve">GL012</t>
  </si>
  <si>
    <t xml:space="preserve">Payroll Expense</t>
  </si>
  <si>
    <t xml:space="preserve">GL013</t>
  </si>
  <si>
    <t xml:space="preserve">GL014</t>
  </si>
  <si>
    <t xml:space="preserve">Professional Fees</t>
  </si>
  <si>
    <t xml:space="preserve">Consulting Payment</t>
  </si>
  <si>
    <t xml:space="preserve">CONS0901</t>
  </si>
  <si>
    <t xml:space="preserve">Bank Reference</t>
  </si>
  <si>
    <t xml:space="preserve">Bank Amount</t>
  </si>
  <si>
    <t xml:space="preserve">GL Reference</t>
  </si>
  <si>
    <t xml:space="preserve">Difference</t>
  </si>
  <si>
    <t xml:space="preserve">Exception Type</t>
  </si>
  <si>
    <t xml:space="preserve">Matched</t>
  </si>
  <si>
    <t xml:space="preserve">Amount Mismatch</t>
  </si>
  <si>
    <t xml:space="preserve">Note: Consolidated view — columns A–G are Bank Statement transactions; columns H–M are the matched General Ledger entries and reconciliation exception status.</t>
  </si>
  <si>
    <t xml:space="preserve">Bank Account</t>
  </si>
  <si>
    <t xml:space="preserve">GL Amount</t>
  </si>
  <si>
    <t xml:space="preserve">Difference </t>
  </si>
  <si>
    <t xml:space="preserve">Status </t>
  </si>
  <si>
    <t xml:space="preserve">Exception type </t>
  </si>
  <si>
    <t xml:space="preserve">Differenence</t>
  </si>
  <si>
    <t xml:space="preserve">Investigation/Action</t>
  </si>
  <si>
    <t xml:space="preserve">Verify bank statement charges in the GL; obtain supporting bank advice if required</t>
  </si>
  <si>
    <t xml:space="preserve">Investigate the 2000 difference against the customer receipt and supporting invoice; confirm whether the GL needs adjustment</t>
  </si>
  <si>
    <t xml:space="preserve">Verify bank statement charge and record the missing bank charge entry in the GL</t>
  </si>
  <si>
    <t xml:space="preserve">Verify the consultingpayment in supporting documents and bank statement; investigate why it is recorded in  the GL but not in the bank statement</t>
  </si>
  <si>
    <t xml:space="preserve">Month-End Reconciliation Summary</t>
  </si>
  <si>
    <t xml:space="preserve">Total Transactions Reviewed</t>
  </si>
  <si>
    <t xml:space="preserve">Matched Transactions</t>
  </si>
  <si>
    <t xml:space="preserve">Exception Transactions</t>
  </si>
  <si>
    <t xml:space="preserve">Reconciliation Rate</t>
  </si>
  <si>
    <t xml:space="preserve">Bank Only Exceptions</t>
  </si>
  <si>
    <t xml:space="preserve">GL Only Exceptions</t>
  </si>
  <si>
    <t xml:space="preserve">Amount Mismatch Exceptions</t>
  </si>
  <si>
    <t xml:space="preserve">Total Exception Value</t>
  </si>
  <si>
    <t xml:space="preserve">Gross Exception Value </t>
  </si>
  <si>
    <t xml:space="preserve">Key Month End Observation</t>
  </si>
  <si>
    <t xml:space="preserve">12 of 16 transactions were sucessfully reconciled, resulting in a 75% reconcilation rate. Four exceptions remain, with a gross exception value of 13,250. The key items requiring investigation are 10,000 GL-only Consulting Payment and the 2000 customer receipt mismatch. Bank charges totalling1250 are also pending GL recognition.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</si>
</sst>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"/>
    <numFmt numFmtId="167" formatCode="#,##0.00;[RED]\-#,##0.00"/>
    <numFmt numFmtId="168" formatCode="m/d/yyyy\ h:mm"/>
    <numFmt numFmtId="169" formatCode="_ &quot;₹ &quot;* #,##0.00_ ;_ &quot;₹ &quot;* \-#,##0.00_ ;_ &quot;₹ &quot;* \-??_ ;_ @_ "/>
    <numFmt numFmtId="170" formatCode="0%"/>
    <numFmt numFmtId="171" formatCode="_ &quot;₹ &quot;* #,##0_ ;_ &quot;₹ &quot;* \-#,##0_ ;_ &quot;₹ &quot;* \-??_ ;_ @_ 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i val="true"/>
      <sz val="9"/>
      <color rgb="FF7F7F7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nkData" displayName="BankData" ref="A1:F16" headerRowCount="1" totalsRowCount="0" totalsRowShown="0">
  <autoFilter ref="A1:F16"/>
  <tableColumns count="6">
    <tableColumn id="1" name="Transaction ID"/>
    <tableColumn id="2" name="Date"/>
    <tableColumn id="3" name="Description"/>
    <tableColumn id="4" name="Reference"/>
    <tableColumn id="5" name="Debit"/>
    <tableColumn id="6" name="Credit"/>
  </tableColumns>
</table>
</file>

<file path=xl/tables/table2.xml><?xml version="1.0" encoding="utf-8"?>
<table xmlns="http://schemas.openxmlformats.org/spreadsheetml/2006/main" id="2" name="BankData_1" displayName="BankData_1" ref="A1:M17" headerRowCount="1" totalsRowCount="0" totalsRowShown="0">
  <autoFilter ref="A1:M17"/>
  <tableColumns count="13">
    <tableColumn id="1" name="Transaction ID"/>
    <tableColumn id="2" name="Date"/>
    <tableColumn id="3" name="Description"/>
    <tableColumn id="4" name="Bank Reference"/>
    <tableColumn id="5" name="Debit"/>
    <tableColumn id="6" name="Credit"/>
    <tableColumn id="7" name="Bank Amount"/>
    <tableColumn id="8" name="GL ID"/>
    <tableColumn id="9" name="Account"/>
    <tableColumn id="10" name="GL Reference"/>
    <tableColumn id="11" name="Amount"/>
    <tableColumn id="12" name="Difference"/>
    <tableColumn id="13" name="Exception Type"/>
  </tableColumns>
</table>
</file>

<file path=xl/tables/table3.xml><?xml version="1.0" encoding="utf-8"?>
<table xmlns="http://schemas.openxmlformats.org/spreadsheetml/2006/main" id="3" name="GLData" displayName="GLData" ref="A1:F15" headerRowCount="1" totalsRowCount="0" totalsRowShown="0">
  <autoFilter ref="A1:F15"/>
  <tableColumns count="6">
    <tableColumn id="1" name="GL ID"/>
    <tableColumn id="2" name="Date"/>
    <tableColumn id="3" name="Account"/>
    <tableColumn id="4" name="Description"/>
    <tableColumn id="5" name="Reference "/>
    <tableColumn id="6" name="Amount"/>
  </tableColumns>
</table>
</file>

<file path=xl/tables/table4.xml><?xml version="1.0" encoding="utf-8"?>
<table xmlns="http://schemas.openxmlformats.org/spreadsheetml/2006/main" id="4" name="GLData_1" displayName="GLData_1" ref="A1:F15" headerRowCount="1" totalsRowCount="0" totalsRowShown="0">
  <autoFilter ref="A1:F15"/>
  <tableColumns count="6">
    <tableColumn id="1" name="GL ID"/>
    <tableColumn id="2" name="Date"/>
    <tableColumn id="3" name="Account"/>
    <tableColumn id="4" name="Description"/>
    <tableColumn id="5" name="Reference "/>
    <tableColumn id="6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.82"/>
    <col collapsed="false" customWidth="true" hidden="false" outlineLevel="0" max="2" min="2" style="0" width="15.45"/>
    <col collapsed="false" customWidth="true" hidden="false" outlineLevel="0" max="3" min="3" style="0" width="16.54"/>
    <col collapsed="false" customWidth="true" hidden="false" outlineLevel="0" max="4" min="4" style="0" width="11.18"/>
  </cols>
  <sheetData>
    <row r="1" customFormat="false" ht="13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25" hidden="false" customHeight="false" outlineLevel="0" collapsed="false">
      <c r="A2" s="4" t="s">
        <v>6</v>
      </c>
      <c r="B2" s="5" t="n">
        <v>46266</v>
      </c>
      <c r="C2" s="6" t="s">
        <v>7</v>
      </c>
      <c r="D2" s="6" t="s">
        <v>8</v>
      </c>
      <c r="E2" s="6" t="n">
        <v>0</v>
      </c>
      <c r="F2" s="7" t="n">
        <v>50000</v>
      </c>
    </row>
    <row r="3" customFormat="false" ht="14.25" hidden="false" customHeight="false" outlineLevel="0" collapsed="false">
      <c r="A3" s="4" t="s">
        <v>9</v>
      </c>
      <c r="B3" s="5" t="n">
        <v>46267</v>
      </c>
      <c r="C3" s="6" t="s">
        <v>10</v>
      </c>
      <c r="D3" s="6" t="s">
        <v>11</v>
      </c>
      <c r="E3" s="6" t="n">
        <v>20000</v>
      </c>
      <c r="F3" s="7" t="n">
        <v>0</v>
      </c>
    </row>
    <row r="4" customFormat="false" ht="14.25" hidden="false" customHeight="false" outlineLevel="0" collapsed="false">
      <c r="A4" s="4" t="s">
        <v>12</v>
      </c>
      <c r="B4" s="5" t="n">
        <v>46268</v>
      </c>
      <c r="C4" s="6" t="s">
        <v>13</v>
      </c>
      <c r="D4" s="6" t="s">
        <v>14</v>
      </c>
      <c r="E4" s="6" t="n">
        <v>500</v>
      </c>
      <c r="F4" s="7" t="n">
        <v>0</v>
      </c>
    </row>
    <row r="5" customFormat="false" ht="14.25" hidden="false" customHeight="false" outlineLevel="0" collapsed="false">
      <c r="A5" s="4" t="s">
        <v>15</v>
      </c>
      <c r="B5" s="5" t="n">
        <v>46269</v>
      </c>
      <c r="C5" s="6" t="s">
        <v>7</v>
      </c>
      <c r="D5" s="6" t="s">
        <v>16</v>
      </c>
      <c r="E5" s="6" t="n">
        <v>0</v>
      </c>
      <c r="F5" s="7" t="n">
        <v>75000</v>
      </c>
    </row>
    <row r="6" customFormat="false" ht="14.25" hidden="false" customHeight="false" outlineLevel="0" collapsed="false">
      <c r="A6" s="4" t="s">
        <v>17</v>
      </c>
      <c r="B6" s="5" t="n">
        <v>46270</v>
      </c>
      <c r="C6" s="6" t="s">
        <v>18</v>
      </c>
      <c r="D6" s="6" t="s">
        <v>19</v>
      </c>
      <c r="E6" s="6" t="n">
        <v>8500</v>
      </c>
      <c r="F6" s="7" t="n">
        <v>0</v>
      </c>
    </row>
    <row r="7" customFormat="false" ht="14.25" hidden="false" customHeight="false" outlineLevel="0" collapsed="false">
      <c r="A7" s="4" t="s">
        <v>20</v>
      </c>
      <c r="B7" s="5" t="n">
        <v>46271</v>
      </c>
      <c r="C7" s="6" t="s">
        <v>7</v>
      </c>
      <c r="D7" s="6" t="s">
        <v>21</v>
      </c>
      <c r="E7" s="6" t="n">
        <v>0</v>
      </c>
      <c r="F7" s="7" t="n">
        <v>42000</v>
      </c>
    </row>
    <row r="8" customFormat="false" ht="14.25" hidden="false" customHeight="false" outlineLevel="0" collapsed="false">
      <c r="A8" s="4" t="s">
        <v>22</v>
      </c>
      <c r="B8" s="5" t="n">
        <v>46272</v>
      </c>
      <c r="C8" s="6" t="s">
        <v>23</v>
      </c>
      <c r="D8" s="6" t="s">
        <v>24</v>
      </c>
      <c r="E8" s="6" t="n">
        <v>6500</v>
      </c>
      <c r="F8" s="7" t="n">
        <v>0</v>
      </c>
    </row>
    <row r="9" customFormat="false" ht="14.25" hidden="false" customHeight="false" outlineLevel="0" collapsed="false">
      <c r="A9" s="4" t="s">
        <v>25</v>
      </c>
      <c r="B9" s="5" t="n">
        <v>46273</v>
      </c>
      <c r="C9" s="6" t="s">
        <v>7</v>
      </c>
      <c r="D9" s="6" t="s">
        <v>26</v>
      </c>
      <c r="E9" s="6" t="n">
        <v>0</v>
      </c>
      <c r="F9" s="7" t="n">
        <v>62000</v>
      </c>
    </row>
    <row r="10" customFormat="false" ht="14.25" hidden="false" customHeight="false" outlineLevel="0" collapsed="false">
      <c r="A10" s="4" t="s">
        <v>27</v>
      </c>
      <c r="B10" s="5" t="n">
        <v>46274</v>
      </c>
      <c r="C10" s="6" t="s">
        <v>13</v>
      </c>
      <c r="D10" s="6" t="s">
        <v>28</v>
      </c>
      <c r="E10" s="6" t="n">
        <v>750</v>
      </c>
      <c r="F10" s="7" t="n">
        <v>0</v>
      </c>
    </row>
    <row r="11" customFormat="false" ht="14.25" hidden="false" customHeight="false" outlineLevel="0" collapsed="false">
      <c r="A11" s="4" t="s">
        <v>29</v>
      </c>
      <c r="B11" s="5" t="n">
        <v>46275</v>
      </c>
      <c r="C11" s="6" t="s">
        <v>30</v>
      </c>
      <c r="D11" s="6" t="s">
        <v>31</v>
      </c>
      <c r="E11" s="6" t="n">
        <v>12000</v>
      </c>
      <c r="F11" s="7" t="n">
        <v>0</v>
      </c>
    </row>
    <row r="12" customFormat="false" ht="14.25" hidden="false" customHeight="false" outlineLevel="0" collapsed="false">
      <c r="A12" s="4" t="s">
        <v>32</v>
      </c>
      <c r="B12" s="5" t="n">
        <v>46276</v>
      </c>
      <c r="C12" s="6" t="s">
        <v>7</v>
      </c>
      <c r="D12" s="6" t="s">
        <v>33</v>
      </c>
      <c r="E12" s="6" t="n">
        <v>0</v>
      </c>
      <c r="F12" s="7" t="n">
        <v>38000</v>
      </c>
    </row>
    <row r="13" customFormat="false" ht="14.25" hidden="false" customHeight="false" outlineLevel="0" collapsed="false">
      <c r="A13" s="4" t="s">
        <v>34</v>
      </c>
      <c r="B13" s="5" t="n">
        <v>46277</v>
      </c>
      <c r="C13" s="6" t="s">
        <v>35</v>
      </c>
      <c r="D13" s="6" t="s">
        <v>36</v>
      </c>
      <c r="E13" s="6" t="n">
        <v>15500</v>
      </c>
      <c r="F13" s="7" t="n">
        <v>0</v>
      </c>
    </row>
    <row r="14" customFormat="false" ht="14.25" hidden="false" customHeight="false" outlineLevel="0" collapsed="false">
      <c r="A14" s="4" t="s">
        <v>37</v>
      </c>
      <c r="B14" s="5" t="n">
        <v>46278</v>
      </c>
      <c r="C14" s="6" t="s">
        <v>7</v>
      </c>
      <c r="D14" s="6" t="s">
        <v>38</v>
      </c>
      <c r="E14" s="6" t="n">
        <v>0</v>
      </c>
      <c r="F14" s="7" t="n">
        <v>91000</v>
      </c>
    </row>
    <row r="15" customFormat="false" ht="14.25" hidden="false" customHeight="false" outlineLevel="0" collapsed="false">
      <c r="A15" s="4" t="s">
        <v>39</v>
      </c>
      <c r="B15" s="5" t="n">
        <v>46279</v>
      </c>
      <c r="C15" s="6" t="s">
        <v>40</v>
      </c>
      <c r="D15" s="6" t="s">
        <v>41</v>
      </c>
      <c r="E15" s="6" t="n">
        <v>28000</v>
      </c>
      <c r="F15" s="7" t="n">
        <v>0</v>
      </c>
    </row>
    <row r="16" customFormat="false" ht="14.25" hidden="false" customHeight="false" outlineLevel="0" collapsed="false">
      <c r="A16" s="8" t="s">
        <v>42</v>
      </c>
      <c r="B16" s="9" t="n">
        <v>46280</v>
      </c>
      <c r="C16" s="10" t="s">
        <v>7</v>
      </c>
      <c r="D16" s="10" t="s">
        <v>43</v>
      </c>
      <c r="E16" s="10" t="n">
        <v>0</v>
      </c>
      <c r="F16" s="11" t="n">
        <v>47000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.82"/>
    <col collapsed="false" customWidth="true" hidden="false" outlineLevel="0" max="2" min="2" style="0" width="17.09"/>
    <col collapsed="false" customWidth="true" hidden="false" outlineLevel="0" max="3" min="3" style="0" width="21.82"/>
    <col collapsed="false" customWidth="true" hidden="false" outlineLevel="0" max="4" min="4" style="0" width="19.36"/>
    <col collapsed="false" customWidth="true" hidden="false" outlineLevel="0" max="5" min="5" style="0" width="11.63"/>
    <col collapsed="false" customWidth="true" hidden="false" outlineLevel="0" max="6" min="6" style="0" width="9.63"/>
  </cols>
  <sheetData>
    <row r="1" customFormat="false" ht="15" hidden="false" customHeight="true" outlineLevel="0" collapsed="false">
      <c r="A1" s="1" t="s">
        <v>44</v>
      </c>
      <c r="B1" s="2" t="s">
        <v>1</v>
      </c>
      <c r="C1" s="2" t="s">
        <v>45</v>
      </c>
      <c r="D1" s="2" t="s">
        <v>2</v>
      </c>
      <c r="E1" s="2" t="s">
        <v>46</v>
      </c>
      <c r="F1" s="3" t="s">
        <v>47</v>
      </c>
    </row>
    <row r="2" customFormat="false" ht="14.25" hidden="false" customHeight="false" outlineLevel="0" collapsed="false">
      <c r="A2" s="12" t="s">
        <v>48</v>
      </c>
      <c r="B2" s="5" t="n">
        <v>46266</v>
      </c>
      <c r="C2" s="6" t="s">
        <v>49</v>
      </c>
      <c r="D2" s="6" t="s">
        <v>7</v>
      </c>
      <c r="E2" s="6" t="s">
        <v>8</v>
      </c>
      <c r="F2" s="7" t="n">
        <v>50000</v>
      </c>
    </row>
    <row r="3" customFormat="false" ht="14.25" hidden="false" customHeight="false" outlineLevel="0" collapsed="false">
      <c r="A3" s="12" t="s">
        <v>50</v>
      </c>
      <c r="B3" s="5" t="n">
        <v>46267</v>
      </c>
      <c r="C3" s="6" t="s">
        <v>51</v>
      </c>
      <c r="D3" s="6" t="s">
        <v>10</v>
      </c>
      <c r="E3" s="6" t="s">
        <v>11</v>
      </c>
      <c r="F3" s="7" t="n">
        <v>20000</v>
      </c>
    </row>
    <row r="4" customFormat="false" ht="14.25" hidden="false" customHeight="false" outlineLevel="0" collapsed="false">
      <c r="A4" s="12" t="s">
        <v>52</v>
      </c>
      <c r="B4" s="5" t="n">
        <v>46269</v>
      </c>
      <c r="C4" s="6" t="s">
        <v>49</v>
      </c>
      <c r="D4" s="6" t="s">
        <v>7</v>
      </c>
      <c r="E4" s="6" t="s">
        <v>16</v>
      </c>
      <c r="F4" s="7" t="n">
        <v>75000</v>
      </c>
    </row>
    <row r="5" customFormat="false" ht="14.25" hidden="false" customHeight="false" outlineLevel="0" collapsed="false">
      <c r="A5" s="12" t="s">
        <v>53</v>
      </c>
      <c r="B5" s="5" t="n">
        <v>46270</v>
      </c>
      <c r="C5" s="6" t="s">
        <v>18</v>
      </c>
      <c r="D5" s="6" t="s">
        <v>18</v>
      </c>
      <c r="E5" s="6" t="s">
        <v>19</v>
      </c>
      <c r="F5" s="7" t="n">
        <v>8500</v>
      </c>
    </row>
    <row r="6" customFormat="false" ht="14.25" hidden="false" customHeight="false" outlineLevel="0" collapsed="false">
      <c r="A6" s="12" t="s">
        <v>54</v>
      </c>
      <c r="B6" s="5" t="n">
        <v>46271</v>
      </c>
      <c r="C6" s="6" t="s">
        <v>49</v>
      </c>
      <c r="D6" s="6" t="s">
        <v>7</v>
      </c>
      <c r="E6" s="6" t="s">
        <v>21</v>
      </c>
      <c r="F6" s="7" t="n">
        <v>42000</v>
      </c>
    </row>
    <row r="7" customFormat="false" ht="14.25" hidden="false" customHeight="false" outlineLevel="0" collapsed="false">
      <c r="A7" s="4" t="s">
        <v>55</v>
      </c>
      <c r="B7" s="5" t="n">
        <v>46272</v>
      </c>
      <c r="C7" s="6" t="s">
        <v>56</v>
      </c>
      <c r="D7" s="6" t="s">
        <v>23</v>
      </c>
      <c r="E7" s="6" t="s">
        <v>24</v>
      </c>
      <c r="F7" s="7" t="n">
        <v>6500</v>
      </c>
    </row>
    <row r="8" customFormat="false" ht="14.25" hidden="false" customHeight="false" outlineLevel="0" collapsed="false">
      <c r="A8" s="4" t="s">
        <v>57</v>
      </c>
      <c r="B8" s="5" t="n">
        <v>46273</v>
      </c>
      <c r="C8" s="6" t="s">
        <v>49</v>
      </c>
      <c r="D8" s="6" t="s">
        <v>7</v>
      </c>
      <c r="E8" s="6" t="s">
        <v>26</v>
      </c>
      <c r="F8" s="7" t="n">
        <v>60000</v>
      </c>
    </row>
    <row r="9" customFormat="false" ht="14.25" hidden="false" customHeight="false" outlineLevel="0" collapsed="false">
      <c r="A9" s="4" t="s">
        <v>58</v>
      </c>
      <c r="B9" s="5" t="n">
        <v>46275</v>
      </c>
      <c r="C9" s="6" t="s">
        <v>59</v>
      </c>
      <c r="D9" s="6" t="s">
        <v>30</v>
      </c>
      <c r="E9" s="6" t="s">
        <v>31</v>
      </c>
      <c r="F9" s="7" t="n">
        <v>12000</v>
      </c>
    </row>
    <row r="10" customFormat="false" ht="14.25" hidden="false" customHeight="false" outlineLevel="0" collapsed="false">
      <c r="A10" s="4" t="s">
        <v>60</v>
      </c>
      <c r="B10" s="5" t="n">
        <v>46276</v>
      </c>
      <c r="C10" s="6" t="s">
        <v>49</v>
      </c>
      <c r="D10" s="6" t="s">
        <v>7</v>
      </c>
      <c r="E10" s="6" t="s">
        <v>33</v>
      </c>
      <c r="F10" s="7" t="n">
        <v>38000</v>
      </c>
    </row>
    <row r="11" customFormat="false" ht="14.25" hidden="false" customHeight="false" outlineLevel="0" collapsed="false">
      <c r="A11" s="4" t="s">
        <v>61</v>
      </c>
      <c r="B11" s="5" t="n">
        <v>46277</v>
      </c>
      <c r="C11" s="6" t="s">
        <v>62</v>
      </c>
      <c r="D11" s="6" t="s">
        <v>35</v>
      </c>
      <c r="E11" s="6" t="s">
        <v>36</v>
      </c>
      <c r="F11" s="7" t="n">
        <v>15500</v>
      </c>
    </row>
    <row r="12" customFormat="false" ht="14.25" hidden="false" customHeight="false" outlineLevel="0" collapsed="false">
      <c r="A12" s="4" t="s">
        <v>63</v>
      </c>
      <c r="B12" s="5" t="n">
        <v>46278</v>
      </c>
      <c r="C12" s="6" t="s">
        <v>49</v>
      </c>
      <c r="D12" s="6" t="s">
        <v>7</v>
      </c>
      <c r="E12" s="6" t="s">
        <v>38</v>
      </c>
      <c r="F12" s="7" t="n">
        <v>91000</v>
      </c>
    </row>
    <row r="13" customFormat="false" ht="14.25" hidden="false" customHeight="false" outlineLevel="0" collapsed="false">
      <c r="A13" s="4" t="s">
        <v>64</v>
      </c>
      <c r="B13" s="5" t="n">
        <v>46279</v>
      </c>
      <c r="C13" s="6" t="s">
        <v>65</v>
      </c>
      <c r="D13" s="6" t="s">
        <v>40</v>
      </c>
      <c r="E13" s="6" t="s">
        <v>41</v>
      </c>
      <c r="F13" s="7" t="n">
        <v>28000</v>
      </c>
    </row>
    <row r="14" customFormat="false" ht="14.25" hidden="false" customHeight="false" outlineLevel="0" collapsed="false">
      <c r="A14" s="4" t="s">
        <v>66</v>
      </c>
      <c r="B14" s="5" t="n">
        <v>46280</v>
      </c>
      <c r="C14" s="6" t="s">
        <v>49</v>
      </c>
      <c r="D14" s="6" t="s">
        <v>7</v>
      </c>
      <c r="E14" s="6" t="s">
        <v>43</v>
      </c>
      <c r="F14" s="7" t="n">
        <v>47000</v>
      </c>
    </row>
    <row r="15" customFormat="false" ht="14.25" hidden="false" customHeight="false" outlineLevel="0" collapsed="false">
      <c r="A15" s="8" t="s">
        <v>67</v>
      </c>
      <c r="B15" s="9" t="n">
        <v>46281</v>
      </c>
      <c r="C15" s="10" t="s">
        <v>68</v>
      </c>
      <c r="D15" s="10" t="s">
        <v>69</v>
      </c>
      <c r="E15" s="10" t="s">
        <v>70</v>
      </c>
      <c r="F15" s="11" t="n">
        <v>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pane xSplit="0" ySplit="1" topLeftCell="A2" activePane="bottomLeft" state="frozen"/>
      <selection pane="topLeft" activeCell="A1" activeCellId="0" sqref="A1"/>
      <selection pane="bottomLeft" activeCell="I5" activeCellId="0" sqref="I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.27"/>
    <col collapsed="false" customWidth="true" hidden="false" outlineLevel="0" max="2" min="2" style="0" width="15.18"/>
    <col collapsed="false" customWidth="true" hidden="false" outlineLevel="0" max="3" min="3" style="0" width="16.82"/>
    <col collapsed="false" customWidth="true" hidden="false" outlineLevel="0" max="4" min="4" style="0" width="11.45"/>
    <col collapsed="false" customWidth="true" hidden="false" outlineLevel="0" max="5" min="5" style="0" width="7.63"/>
    <col collapsed="false" customWidth="true" hidden="false" outlineLevel="0" max="6" min="6" style="0" width="8.18"/>
    <col collapsed="false" customWidth="true" hidden="false" outlineLevel="0" max="7" min="7" style="0" width="14.54"/>
    <col collapsed="false" customWidth="true" hidden="false" outlineLevel="0" max="8" min="8" style="0" width="7.45"/>
    <col collapsed="false" customWidth="true" hidden="false" outlineLevel="0" max="9" min="9" style="0" width="17.82"/>
    <col collapsed="false" customWidth="true" hidden="false" outlineLevel="0" max="10" min="10" style="0" width="11.91"/>
    <col collapsed="false" customWidth="true" hidden="false" outlineLevel="0" max="11" min="11" style="0" width="9.91"/>
    <col collapsed="false" customWidth="true" hidden="false" outlineLevel="0" max="12" min="12" style="0" width="11.73"/>
    <col collapsed="false" customWidth="true" hidden="false" outlineLevel="0" max="13" min="13" style="0" width="16.27"/>
  </cols>
  <sheetData>
    <row r="1" customFormat="false" ht="14.25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71</v>
      </c>
      <c r="E1" s="13" t="s">
        <v>4</v>
      </c>
      <c r="F1" s="13" t="s">
        <v>5</v>
      </c>
      <c r="G1" s="14" t="s">
        <v>72</v>
      </c>
      <c r="H1" s="15" t="s">
        <v>44</v>
      </c>
      <c r="I1" s="16" t="s">
        <v>45</v>
      </c>
      <c r="J1" s="16" t="s">
        <v>73</v>
      </c>
      <c r="K1" s="16" t="s">
        <v>47</v>
      </c>
      <c r="L1" s="16" t="s">
        <v>74</v>
      </c>
      <c r="M1" s="16" t="s">
        <v>75</v>
      </c>
    </row>
    <row r="2" customFormat="false" ht="14.25" hidden="false" customHeight="false" outlineLevel="0" collapsed="false">
      <c r="A2" s="0" t="s">
        <v>6</v>
      </c>
      <c r="B2" s="17" t="n">
        <v>46266</v>
      </c>
      <c r="C2" s="18" t="s">
        <v>7</v>
      </c>
      <c r="D2" s="18" t="s">
        <v>8</v>
      </c>
      <c r="E2" s="19" t="n">
        <v>0</v>
      </c>
      <c r="F2" s="19" t="n">
        <v>50000</v>
      </c>
      <c r="G2" s="20" t="n">
        <v>50000</v>
      </c>
      <c r="H2" s="21" t="s">
        <v>48</v>
      </c>
      <c r="I2" s="18" t="s">
        <v>49</v>
      </c>
      <c r="J2" s="18" t="s">
        <v>8</v>
      </c>
      <c r="K2" s="19" t="n">
        <v>50000</v>
      </c>
      <c r="L2" s="22" t="n">
        <v>0</v>
      </c>
      <c r="M2" s="18" t="s">
        <v>76</v>
      </c>
    </row>
    <row r="3" customFormat="false" ht="14.25" hidden="false" customHeight="false" outlineLevel="0" collapsed="false">
      <c r="A3" s="0" t="s">
        <v>9</v>
      </c>
      <c r="B3" s="17" t="n">
        <v>46267</v>
      </c>
      <c r="C3" s="18" t="s">
        <v>10</v>
      </c>
      <c r="D3" s="18" t="s">
        <v>11</v>
      </c>
      <c r="E3" s="19" t="n">
        <v>20000</v>
      </c>
      <c r="F3" s="19" t="n">
        <v>0</v>
      </c>
      <c r="G3" s="20" t="n">
        <v>20000</v>
      </c>
      <c r="H3" s="21" t="s">
        <v>50</v>
      </c>
      <c r="I3" s="18" t="s">
        <v>51</v>
      </c>
      <c r="J3" s="18" t="s">
        <v>11</v>
      </c>
      <c r="K3" s="19" t="n">
        <v>20000</v>
      </c>
      <c r="L3" s="22" t="n">
        <v>0</v>
      </c>
      <c r="M3" s="18" t="s">
        <v>76</v>
      </c>
    </row>
    <row r="4" customFormat="false" ht="14.25" hidden="false" customHeight="false" outlineLevel="0" collapsed="false">
      <c r="A4" s="0" t="s">
        <v>12</v>
      </c>
      <c r="B4" s="17" t="n">
        <v>46268</v>
      </c>
      <c r="C4" s="18" t="s">
        <v>13</v>
      </c>
      <c r="D4" s="18" t="s">
        <v>14</v>
      </c>
      <c r="E4" s="19" t="n">
        <v>500</v>
      </c>
      <c r="F4" s="19" t="n">
        <v>0</v>
      </c>
      <c r="G4" s="20" t="n">
        <v>500</v>
      </c>
      <c r="H4" s="21"/>
      <c r="K4" s="19"/>
      <c r="L4" s="22" t="n">
        <v>500</v>
      </c>
      <c r="M4" s="18" t="s">
        <v>77</v>
      </c>
    </row>
    <row r="5" customFormat="false" ht="14.25" hidden="false" customHeight="false" outlineLevel="0" collapsed="false">
      <c r="A5" s="0" t="s">
        <v>15</v>
      </c>
      <c r="B5" s="17" t="n">
        <v>46269</v>
      </c>
      <c r="C5" s="18" t="s">
        <v>7</v>
      </c>
      <c r="D5" s="18" t="s">
        <v>16</v>
      </c>
      <c r="E5" s="19" t="n">
        <v>0</v>
      </c>
      <c r="F5" s="19" t="n">
        <v>75000</v>
      </c>
      <c r="G5" s="20" t="n">
        <v>75000</v>
      </c>
      <c r="H5" s="21" t="s">
        <v>52</v>
      </c>
      <c r="I5" s="18" t="s">
        <v>49</v>
      </c>
      <c r="J5" s="18" t="s">
        <v>16</v>
      </c>
      <c r="K5" s="19" t="n">
        <v>75000</v>
      </c>
      <c r="L5" s="22" t="n">
        <v>0</v>
      </c>
      <c r="M5" s="18" t="s">
        <v>76</v>
      </c>
    </row>
    <row r="6" customFormat="false" ht="14.25" hidden="false" customHeight="false" outlineLevel="0" collapsed="false">
      <c r="A6" s="0" t="s">
        <v>17</v>
      </c>
      <c r="B6" s="17" t="n">
        <v>46270</v>
      </c>
      <c r="C6" s="18" t="s">
        <v>18</v>
      </c>
      <c r="D6" s="18" t="s">
        <v>19</v>
      </c>
      <c r="E6" s="19" t="n">
        <v>8500</v>
      </c>
      <c r="F6" s="19" t="n">
        <v>0</v>
      </c>
      <c r="G6" s="20" t="n">
        <v>8500</v>
      </c>
      <c r="H6" s="21" t="s">
        <v>53</v>
      </c>
      <c r="I6" s="18" t="s">
        <v>18</v>
      </c>
      <c r="J6" s="18" t="s">
        <v>19</v>
      </c>
      <c r="K6" s="19" t="n">
        <v>8500</v>
      </c>
      <c r="L6" s="22" t="n">
        <v>0</v>
      </c>
      <c r="M6" s="18" t="s">
        <v>76</v>
      </c>
    </row>
    <row r="7" customFormat="false" ht="14.25" hidden="false" customHeight="false" outlineLevel="0" collapsed="false">
      <c r="A7" s="0" t="s">
        <v>20</v>
      </c>
      <c r="B7" s="17" t="n">
        <v>46271</v>
      </c>
      <c r="C7" s="18" t="s">
        <v>7</v>
      </c>
      <c r="D7" s="18" t="s">
        <v>21</v>
      </c>
      <c r="E7" s="19" t="n">
        <v>0</v>
      </c>
      <c r="F7" s="19" t="n">
        <v>42000</v>
      </c>
      <c r="G7" s="20" t="n">
        <v>42000</v>
      </c>
      <c r="H7" s="21" t="s">
        <v>54</v>
      </c>
      <c r="I7" s="18" t="s">
        <v>49</v>
      </c>
      <c r="J7" s="18" t="s">
        <v>21</v>
      </c>
      <c r="K7" s="19" t="n">
        <v>42000</v>
      </c>
      <c r="L7" s="22" t="n">
        <v>0</v>
      </c>
      <c r="M7" s="18" t="s">
        <v>76</v>
      </c>
    </row>
    <row r="8" customFormat="false" ht="14.25" hidden="false" customHeight="false" outlineLevel="0" collapsed="false">
      <c r="A8" s="0" t="s">
        <v>22</v>
      </c>
      <c r="B8" s="17" t="n">
        <v>46272</v>
      </c>
      <c r="C8" s="18" t="s">
        <v>23</v>
      </c>
      <c r="D8" s="18" t="s">
        <v>24</v>
      </c>
      <c r="E8" s="19" t="n">
        <v>6500</v>
      </c>
      <c r="F8" s="19" t="n">
        <v>0</v>
      </c>
      <c r="G8" s="20" t="n">
        <v>6500</v>
      </c>
      <c r="H8" s="21" t="s">
        <v>55</v>
      </c>
      <c r="I8" s="18" t="s">
        <v>56</v>
      </c>
      <c r="J8" s="18" t="s">
        <v>24</v>
      </c>
      <c r="K8" s="19" t="n">
        <v>6500</v>
      </c>
      <c r="L8" s="22" t="n">
        <v>0</v>
      </c>
      <c r="M8" s="18" t="s">
        <v>76</v>
      </c>
    </row>
    <row r="9" customFormat="false" ht="14.25" hidden="false" customHeight="false" outlineLevel="0" collapsed="false">
      <c r="A9" s="0" t="s">
        <v>25</v>
      </c>
      <c r="B9" s="17" t="n">
        <v>46273</v>
      </c>
      <c r="C9" s="18" t="s">
        <v>7</v>
      </c>
      <c r="D9" s="18" t="s">
        <v>26</v>
      </c>
      <c r="E9" s="19" t="n">
        <v>0</v>
      </c>
      <c r="F9" s="19" t="n">
        <v>62000</v>
      </c>
      <c r="G9" s="20" t="n">
        <v>62000</v>
      </c>
      <c r="H9" s="21" t="s">
        <v>57</v>
      </c>
      <c r="I9" s="18" t="s">
        <v>49</v>
      </c>
      <c r="J9" s="18" t="s">
        <v>26</v>
      </c>
      <c r="K9" s="19" t="n">
        <v>60000</v>
      </c>
      <c r="L9" s="22" t="n">
        <v>2000</v>
      </c>
      <c r="M9" s="18" t="s">
        <v>77</v>
      </c>
    </row>
    <row r="10" customFormat="false" ht="14.25" hidden="false" customHeight="false" outlineLevel="0" collapsed="false">
      <c r="A10" s="0" t="s">
        <v>29</v>
      </c>
      <c r="B10" s="17" t="n">
        <v>46275</v>
      </c>
      <c r="C10" s="18" t="s">
        <v>30</v>
      </c>
      <c r="D10" s="18" t="s">
        <v>31</v>
      </c>
      <c r="E10" s="19" t="n">
        <v>12000</v>
      </c>
      <c r="F10" s="19" t="n">
        <v>0</v>
      </c>
      <c r="G10" s="20" t="n">
        <v>12000</v>
      </c>
      <c r="H10" s="21" t="s">
        <v>58</v>
      </c>
      <c r="I10" s="18" t="s">
        <v>59</v>
      </c>
      <c r="J10" s="18" t="s">
        <v>31</v>
      </c>
      <c r="K10" s="19" t="n">
        <v>12000</v>
      </c>
      <c r="L10" s="22" t="n">
        <v>0</v>
      </c>
      <c r="M10" s="18" t="s">
        <v>76</v>
      </c>
    </row>
    <row r="11" customFormat="false" ht="14.25" hidden="false" customHeight="false" outlineLevel="0" collapsed="false">
      <c r="A11" s="0" t="s">
        <v>27</v>
      </c>
      <c r="B11" s="17" t="n">
        <v>46274</v>
      </c>
      <c r="C11" s="18" t="s">
        <v>13</v>
      </c>
      <c r="D11" s="18" t="s">
        <v>28</v>
      </c>
      <c r="E11" s="19" t="n">
        <v>750</v>
      </c>
      <c r="F11" s="19" t="n">
        <v>0</v>
      </c>
      <c r="G11" s="20" t="n">
        <v>750</v>
      </c>
      <c r="H11" s="21"/>
      <c r="K11" s="19"/>
      <c r="L11" s="22" t="n">
        <v>750</v>
      </c>
      <c r="M11" s="18" t="s">
        <v>77</v>
      </c>
    </row>
    <row r="12" customFormat="false" ht="14.25" hidden="false" customHeight="false" outlineLevel="0" collapsed="false">
      <c r="A12" s="0" t="s">
        <v>32</v>
      </c>
      <c r="B12" s="17" t="n">
        <v>46276</v>
      </c>
      <c r="C12" s="18" t="s">
        <v>7</v>
      </c>
      <c r="D12" s="18" t="s">
        <v>33</v>
      </c>
      <c r="E12" s="19" t="n">
        <v>0</v>
      </c>
      <c r="F12" s="19" t="n">
        <v>38000</v>
      </c>
      <c r="G12" s="20" t="n">
        <v>38000</v>
      </c>
      <c r="H12" s="21" t="s">
        <v>60</v>
      </c>
      <c r="I12" s="18" t="s">
        <v>49</v>
      </c>
      <c r="J12" s="18" t="s">
        <v>33</v>
      </c>
      <c r="K12" s="19" t="n">
        <v>38000</v>
      </c>
      <c r="L12" s="22" t="n">
        <v>0</v>
      </c>
      <c r="M12" s="18" t="s">
        <v>76</v>
      </c>
    </row>
    <row r="13" customFormat="false" ht="14.25" hidden="false" customHeight="false" outlineLevel="0" collapsed="false">
      <c r="A13" s="0" t="s">
        <v>34</v>
      </c>
      <c r="B13" s="17" t="n">
        <v>46277</v>
      </c>
      <c r="C13" s="18" t="s">
        <v>35</v>
      </c>
      <c r="D13" s="18" t="s">
        <v>36</v>
      </c>
      <c r="E13" s="19" t="n">
        <v>15500</v>
      </c>
      <c r="F13" s="19" t="n">
        <v>0</v>
      </c>
      <c r="G13" s="20" t="n">
        <v>15500</v>
      </c>
      <c r="H13" s="21" t="s">
        <v>61</v>
      </c>
      <c r="I13" s="18" t="s">
        <v>62</v>
      </c>
      <c r="J13" s="18" t="s">
        <v>36</v>
      </c>
      <c r="K13" s="19" t="n">
        <v>15500</v>
      </c>
      <c r="L13" s="22" t="n">
        <v>0</v>
      </c>
      <c r="M13" s="18" t="s">
        <v>76</v>
      </c>
    </row>
    <row r="14" customFormat="false" ht="14.25" hidden="false" customHeight="false" outlineLevel="0" collapsed="false">
      <c r="A14" s="0" t="s">
        <v>37</v>
      </c>
      <c r="B14" s="17" t="n">
        <v>46278</v>
      </c>
      <c r="C14" s="18" t="s">
        <v>7</v>
      </c>
      <c r="D14" s="18" t="s">
        <v>38</v>
      </c>
      <c r="E14" s="19" t="n">
        <v>0</v>
      </c>
      <c r="F14" s="19" t="n">
        <v>91000</v>
      </c>
      <c r="G14" s="20" t="n">
        <v>91000</v>
      </c>
      <c r="H14" s="21" t="s">
        <v>63</v>
      </c>
      <c r="I14" s="18" t="s">
        <v>49</v>
      </c>
      <c r="J14" s="18" t="s">
        <v>38</v>
      </c>
      <c r="K14" s="19" t="n">
        <v>91000</v>
      </c>
      <c r="L14" s="22" t="n">
        <v>0</v>
      </c>
      <c r="M14" s="18" t="s">
        <v>76</v>
      </c>
    </row>
    <row r="15" customFormat="false" ht="14.25" hidden="false" customHeight="false" outlineLevel="0" collapsed="false">
      <c r="A15" s="0" t="s">
        <v>39</v>
      </c>
      <c r="B15" s="17" t="n">
        <v>46279</v>
      </c>
      <c r="C15" s="18" t="s">
        <v>40</v>
      </c>
      <c r="D15" s="18" t="s">
        <v>41</v>
      </c>
      <c r="E15" s="19" t="n">
        <v>28000</v>
      </c>
      <c r="F15" s="19" t="n">
        <v>0</v>
      </c>
      <c r="G15" s="20" t="n">
        <v>28000</v>
      </c>
      <c r="H15" s="21" t="s">
        <v>64</v>
      </c>
      <c r="I15" s="18" t="s">
        <v>65</v>
      </c>
      <c r="J15" s="18" t="s">
        <v>41</v>
      </c>
      <c r="K15" s="19" t="n">
        <v>28000</v>
      </c>
      <c r="L15" s="22" t="n">
        <v>0</v>
      </c>
      <c r="M15" s="18" t="s">
        <v>76</v>
      </c>
    </row>
    <row r="16" customFormat="false" ht="14.25" hidden="false" customHeight="false" outlineLevel="0" collapsed="false">
      <c r="A16" s="0" t="s">
        <v>42</v>
      </c>
      <c r="B16" s="17" t="n">
        <v>46280</v>
      </c>
      <c r="C16" s="18" t="s">
        <v>7</v>
      </c>
      <c r="D16" s="18" t="s">
        <v>43</v>
      </c>
      <c r="E16" s="19" t="n">
        <v>0</v>
      </c>
      <c r="F16" s="19" t="n">
        <v>47000</v>
      </c>
      <c r="G16" s="20" t="n">
        <v>47000</v>
      </c>
      <c r="H16" s="21" t="s">
        <v>66</v>
      </c>
      <c r="I16" s="18" t="s">
        <v>49</v>
      </c>
      <c r="J16" s="18" t="s">
        <v>43</v>
      </c>
      <c r="K16" s="19" t="n">
        <v>47000</v>
      </c>
      <c r="L16" s="22" t="n">
        <v>0</v>
      </c>
      <c r="M16" s="18" t="s">
        <v>76</v>
      </c>
    </row>
    <row r="17" customFormat="false" ht="14.25" hidden="false" customHeight="false" outlineLevel="0" collapsed="false">
      <c r="B17" s="17"/>
      <c r="E17" s="19"/>
      <c r="F17" s="19"/>
      <c r="G17" s="20"/>
      <c r="H17" s="21" t="s">
        <v>67</v>
      </c>
      <c r="I17" s="18" t="s">
        <v>68</v>
      </c>
      <c r="J17" s="18" t="s">
        <v>70</v>
      </c>
      <c r="K17" s="19" t="n">
        <v>10000</v>
      </c>
      <c r="L17" s="22" t="n">
        <v>-10000</v>
      </c>
      <c r="M17" s="18" t="s">
        <v>77</v>
      </c>
    </row>
    <row r="19" customFormat="false" ht="14.25" hidden="false" customHeight="false" outlineLevel="0" collapsed="false">
      <c r="A19" s="23" t="s">
        <v>78</v>
      </c>
    </row>
  </sheetData>
  <conditionalFormatting sqref="M2:M17">
    <cfRule type="cellIs" priority="2" operator="equal" aboveAverage="0" equalAverage="0" bottom="0" percent="0" rank="0" text="" dxfId="7">
      <formula>"Matched"</formula>
    </cfRule>
    <cfRule type="cellIs" priority="3" operator="notEqual" aboveAverage="0" equalAverage="0" bottom="0" percent="0" rank="0" text="" dxfId="8">
      <formula>"Matched"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.45"/>
    <col collapsed="false" customWidth="true" hidden="false" outlineLevel="0" max="2" min="2" style="0" width="15.18"/>
    <col collapsed="false" customWidth="true" hidden="false" outlineLevel="0" max="3" min="3" style="0" width="17.82"/>
    <col collapsed="false" customWidth="true" hidden="false" outlineLevel="0" max="4" min="4" style="0" width="17.45"/>
    <col collapsed="false" customWidth="true" hidden="false" outlineLevel="0" max="5" min="5" style="0" width="11.91"/>
    <col collapsed="false" customWidth="true" hidden="false" outlineLevel="0" max="6" min="6" style="0" width="9.91"/>
  </cols>
  <sheetData>
    <row r="1" customFormat="false" ht="14.25" hidden="false" customHeight="false" outlineLevel="0" collapsed="false">
      <c r="A1" s="18" t="s">
        <v>44</v>
      </c>
      <c r="B1" s="18" t="s">
        <v>1</v>
      </c>
      <c r="C1" s="18" t="s">
        <v>45</v>
      </c>
      <c r="D1" s="18" t="s">
        <v>2</v>
      </c>
      <c r="E1" s="18" t="s">
        <v>46</v>
      </c>
      <c r="F1" s="18" t="s">
        <v>47</v>
      </c>
    </row>
    <row r="2" customFormat="false" ht="14.25" hidden="false" customHeight="false" outlineLevel="0" collapsed="false">
      <c r="A2" s="0" t="s">
        <v>48</v>
      </c>
      <c r="B2" s="24" t="n">
        <v>46266</v>
      </c>
      <c r="C2" s="18" t="s">
        <v>49</v>
      </c>
      <c r="D2" s="18" t="s">
        <v>7</v>
      </c>
      <c r="E2" s="18" t="s">
        <v>8</v>
      </c>
      <c r="F2" s="0" t="n">
        <v>50000</v>
      </c>
    </row>
    <row r="3" customFormat="false" ht="14.25" hidden="false" customHeight="false" outlineLevel="0" collapsed="false">
      <c r="A3" s="0" t="s">
        <v>50</v>
      </c>
      <c r="B3" s="24" t="n">
        <v>46267</v>
      </c>
      <c r="C3" s="18" t="s">
        <v>51</v>
      </c>
      <c r="D3" s="18" t="s">
        <v>10</v>
      </c>
      <c r="E3" s="18" t="s">
        <v>11</v>
      </c>
      <c r="F3" s="0" t="n">
        <v>20000</v>
      </c>
    </row>
    <row r="4" customFormat="false" ht="14.25" hidden="false" customHeight="false" outlineLevel="0" collapsed="false">
      <c r="A4" s="0" t="s">
        <v>52</v>
      </c>
      <c r="B4" s="24" t="n">
        <v>46269</v>
      </c>
      <c r="C4" s="18" t="s">
        <v>49</v>
      </c>
      <c r="D4" s="18" t="s">
        <v>7</v>
      </c>
      <c r="E4" s="18" t="s">
        <v>16</v>
      </c>
      <c r="F4" s="0" t="n">
        <v>75000</v>
      </c>
    </row>
    <row r="5" customFormat="false" ht="14.25" hidden="false" customHeight="false" outlineLevel="0" collapsed="false">
      <c r="A5" s="0" t="s">
        <v>53</v>
      </c>
      <c r="B5" s="24" t="n">
        <v>46270</v>
      </c>
      <c r="C5" s="18" t="s">
        <v>18</v>
      </c>
      <c r="D5" s="18" t="s">
        <v>18</v>
      </c>
      <c r="E5" s="18" t="s">
        <v>19</v>
      </c>
      <c r="F5" s="0" t="n">
        <v>8500</v>
      </c>
    </row>
    <row r="6" customFormat="false" ht="14.25" hidden="false" customHeight="false" outlineLevel="0" collapsed="false">
      <c r="A6" s="0" t="s">
        <v>54</v>
      </c>
      <c r="B6" s="24" t="n">
        <v>46271</v>
      </c>
      <c r="C6" s="18" t="s">
        <v>49</v>
      </c>
      <c r="D6" s="18" t="s">
        <v>7</v>
      </c>
      <c r="E6" s="18" t="s">
        <v>21</v>
      </c>
      <c r="F6" s="0" t="n">
        <v>42000</v>
      </c>
    </row>
    <row r="7" customFormat="false" ht="14.25" hidden="false" customHeight="false" outlineLevel="0" collapsed="false">
      <c r="A7" s="0" t="s">
        <v>55</v>
      </c>
      <c r="B7" s="24" t="n">
        <v>46272</v>
      </c>
      <c r="C7" s="18" t="s">
        <v>56</v>
      </c>
      <c r="D7" s="18" t="s">
        <v>23</v>
      </c>
      <c r="E7" s="18" t="s">
        <v>24</v>
      </c>
      <c r="F7" s="0" t="n">
        <v>6500</v>
      </c>
    </row>
    <row r="8" customFormat="false" ht="14.25" hidden="false" customHeight="false" outlineLevel="0" collapsed="false">
      <c r="A8" s="0" t="s">
        <v>57</v>
      </c>
      <c r="B8" s="24" t="n">
        <v>46273</v>
      </c>
      <c r="C8" s="18" t="s">
        <v>49</v>
      </c>
      <c r="D8" s="18" t="s">
        <v>7</v>
      </c>
      <c r="E8" s="18" t="s">
        <v>26</v>
      </c>
      <c r="F8" s="0" t="n">
        <v>60000</v>
      </c>
    </row>
    <row r="9" customFormat="false" ht="14.25" hidden="false" customHeight="false" outlineLevel="0" collapsed="false">
      <c r="A9" s="0" t="s">
        <v>58</v>
      </c>
      <c r="B9" s="24" t="n">
        <v>46275</v>
      </c>
      <c r="C9" s="18" t="s">
        <v>59</v>
      </c>
      <c r="D9" s="18" t="s">
        <v>30</v>
      </c>
      <c r="E9" s="18" t="s">
        <v>31</v>
      </c>
      <c r="F9" s="0" t="n">
        <v>12000</v>
      </c>
    </row>
    <row r="10" customFormat="false" ht="14.25" hidden="false" customHeight="false" outlineLevel="0" collapsed="false">
      <c r="A10" s="0" t="s">
        <v>60</v>
      </c>
      <c r="B10" s="24" t="n">
        <v>46276</v>
      </c>
      <c r="C10" s="18" t="s">
        <v>49</v>
      </c>
      <c r="D10" s="18" t="s">
        <v>7</v>
      </c>
      <c r="E10" s="18" t="s">
        <v>33</v>
      </c>
      <c r="F10" s="0" t="n">
        <v>38000</v>
      </c>
    </row>
    <row r="11" customFormat="false" ht="14.25" hidden="false" customHeight="false" outlineLevel="0" collapsed="false">
      <c r="A11" s="0" t="s">
        <v>61</v>
      </c>
      <c r="B11" s="24" t="n">
        <v>46277</v>
      </c>
      <c r="C11" s="18" t="s">
        <v>62</v>
      </c>
      <c r="D11" s="18" t="s">
        <v>35</v>
      </c>
      <c r="E11" s="18" t="s">
        <v>36</v>
      </c>
      <c r="F11" s="0" t="n">
        <v>15500</v>
      </c>
    </row>
    <row r="12" customFormat="false" ht="14.25" hidden="false" customHeight="false" outlineLevel="0" collapsed="false">
      <c r="A12" s="0" t="s">
        <v>63</v>
      </c>
      <c r="B12" s="24" t="n">
        <v>46278</v>
      </c>
      <c r="C12" s="18" t="s">
        <v>49</v>
      </c>
      <c r="D12" s="18" t="s">
        <v>7</v>
      </c>
      <c r="E12" s="18" t="s">
        <v>38</v>
      </c>
      <c r="F12" s="0" t="n">
        <v>91000</v>
      </c>
    </row>
    <row r="13" customFormat="false" ht="14.25" hidden="false" customHeight="false" outlineLevel="0" collapsed="false">
      <c r="A13" s="0" t="s">
        <v>64</v>
      </c>
      <c r="B13" s="24" t="n">
        <v>46279</v>
      </c>
      <c r="C13" s="18" t="s">
        <v>65</v>
      </c>
      <c r="D13" s="18" t="s">
        <v>40</v>
      </c>
      <c r="E13" s="18" t="s">
        <v>41</v>
      </c>
      <c r="F13" s="0" t="n">
        <v>28000</v>
      </c>
    </row>
    <row r="14" customFormat="false" ht="14.25" hidden="false" customHeight="false" outlineLevel="0" collapsed="false">
      <c r="A14" s="0" t="s">
        <v>66</v>
      </c>
      <c r="B14" s="24" t="n">
        <v>46280</v>
      </c>
      <c r="C14" s="18" t="s">
        <v>49</v>
      </c>
      <c r="D14" s="18" t="s">
        <v>7</v>
      </c>
      <c r="E14" s="18" t="s">
        <v>43</v>
      </c>
      <c r="F14" s="0" t="n">
        <v>47000</v>
      </c>
    </row>
    <row r="15" customFormat="false" ht="14.25" hidden="false" customHeight="false" outlineLevel="0" collapsed="false">
      <c r="A15" s="0" t="s">
        <v>67</v>
      </c>
      <c r="B15" s="24" t="n">
        <v>46281</v>
      </c>
      <c r="C15" s="18" t="s">
        <v>68</v>
      </c>
      <c r="D15" s="18" t="s">
        <v>69</v>
      </c>
      <c r="E15" s="18" t="s">
        <v>70</v>
      </c>
      <c r="F15" s="0" t="n">
        <v>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13.18"/>
    <col collapsed="false" customWidth="true" hidden="false" outlineLevel="0" max="3" min="3" style="0" width="11.82"/>
    <col collapsed="false" customWidth="true" hidden="false" outlineLevel="0" max="4" min="4" style="0" width="11.18"/>
    <col collapsed="false" customWidth="true" hidden="false" outlineLevel="0" max="5" min="5" style="0" width="11.73"/>
    <col collapsed="false" customWidth="true" hidden="false" outlineLevel="0" max="6" min="6" style="0" width="16.63"/>
    <col collapsed="false" customWidth="true" hidden="false" outlineLevel="0" max="7" min="7" style="0" width="19.36"/>
  </cols>
  <sheetData>
    <row r="1" customFormat="false" ht="15" hidden="false" customHeight="true" outlineLevel="0" collapsed="false">
      <c r="A1" s="25" t="s">
        <v>46</v>
      </c>
      <c r="B1" s="26" t="s">
        <v>79</v>
      </c>
      <c r="C1" s="26" t="s">
        <v>80</v>
      </c>
      <c r="D1" s="26" t="s">
        <v>81</v>
      </c>
      <c r="E1" s="26" t="s">
        <v>82</v>
      </c>
      <c r="F1" s="26" t="s">
        <v>83</v>
      </c>
      <c r="G1" s="26" t="s">
        <v>2</v>
      </c>
    </row>
    <row r="2" customFormat="false" ht="14.25" hidden="false" customHeight="false" outlineLevel="0" collapsed="false">
      <c r="A2" s="27" t="s">
        <v>8</v>
      </c>
      <c r="B2" s="6" t="n">
        <f aca="false">SUMIF('Bank Statement '!D:D,A2,'Bank Statement '!F:F)+SUMIF('Bank Statement '!D:D,A2,'Bank Statement '!E:E)</f>
        <v>50000</v>
      </c>
      <c r="C2" s="6" t="n">
        <f aca="false">SUMIF('General Ledger'!E:E,A2, 'General Ledger'!F:F)</f>
        <v>50000</v>
      </c>
      <c r="D2" s="6" t="n">
        <f aca="false">B2-C2</f>
        <v>0</v>
      </c>
      <c r="E2" s="6" t="str">
        <f aca="false">IF(D2=0,"Matched","Exception")</f>
        <v>Matched</v>
      </c>
      <c r="F2" s="6" t="str">
        <f aca="false">IF(B2=0,"GL Only",IF(C2=0,"Bank Only",IF(B2&lt;&gt;C2,"Amount Mismatch","")))</f>
        <v/>
      </c>
      <c r="G2" s="6" t="str">
        <f aca="false">IFERROR(INDEX('Bank Statement '!C:C,MATCH(A2,'Bank Statement '!D:D,0)),IFERROR(INDEX('General Ledger'!D:D,MATCH(A2,'General Ledger'!E:E,0)),""))</f>
        <v>Customer Receipt</v>
      </c>
    </row>
    <row r="3" customFormat="false" ht="14.25" hidden="false" customHeight="false" outlineLevel="0" collapsed="false">
      <c r="A3" s="27" t="s">
        <v>11</v>
      </c>
      <c r="B3" s="6" t="n">
        <f aca="false">SUMIF('Bank Statement '!D:D,A3,'Bank Statement '!F:F)+SUMIF('Bank Statement '!D:D,A3,'Bank Statement '!E:E)</f>
        <v>20000</v>
      </c>
      <c r="C3" s="6" t="n">
        <f aca="false">SUMIF('General Ledger'!E:E,A3, 'General Ledger'!F:F)</f>
        <v>20000</v>
      </c>
      <c r="D3" s="6" t="n">
        <f aca="false">B3-C3</f>
        <v>0</v>
      </c>
      <c r="E3" s="6" t="str">
        <f aca="false">IF(D3=0,"Matched","Exception")</f>
        <v>Matched</v>
      </c>
      <c r="F3" s="6" t="str">
        <f aca="false">IF(B3=0,"GL Only",IF(C3=0,"Bank Only",IF(B3&lt;&gt;C3,"Amount Mismatch","")))</f>
        <v/>
      </c>
      <c r="G3" s="6" t="str">
        <f aca="false">IFERROR(INDEX('Bank Statement '!C:C,MATCH(A3,'Bank Statement '!D:D,0)),IFERROR(INDEX('General Ledger'!D:D,MATCH(A3,'General Ledger'!E:E,0)),""))</f>
        <v>Rent Payment</v>
      </c>
    </row>
    <row r="4" customFormat="false" ht="14.25" hidden="false" customHeight="false" outlineLevel="0" collapsed="false">
      <c r="A4" s="27" t="s">
        <v>14</v>
      </c>
      <c r="B4" s="6" t="n">
        <f aca="false">SUMIF('Bank Statement '!D:D,A4,'Bank Statement '!F:F)+SUMIF('Bank Statement '!D:D,A4,'Bank Statement '!E:E)</f>
        <v>500</v>
      </c>
      <c r="C4" s="6" t="n">
        <f aca="false">SUMIF('General Ledger'!E:E,A4, 'General Ledger'!F:F)</f>
        <v>0</v>
      </c>
      <c r="D4" s="6" t="n">
        <f aca="false">B4-C4</f>
        <v>500</v>
      </c>
      <c r="E4" s="6" t="str">
        <f aca="false">IF(D4=0,"Matched","Exception")</f>
        <v>Exception</v>
      </c>
      <c r="F4" s="6" t="str">
        <f aca="false">IF(B4=0,"GL Only",IF(C4=0,"Bank Only",IF(B4&lt;&gt;C4,"Amount Mismatch","")))</f>
        <v>Bank Only</v>
      </c>
      <c r="G4" s="6" t="str">
        <f aca="false">IFERROR(INDEX('Bank Statement '!C:C,MATCH(A4,'Bank Statement '!D:D,0)),IFERROR(INDEX('General Ledger'!D:D,MATCH(A4,'General Ledger'!E:E,0)),""))</f>
        <v>Bank Charges</v>
      </c>
    </row>
    <row r="5" customFormat="false" ht="14.25" hidden="false" customHeight="false" outlineLevel="0" collapsed="false">
      <c r="A5" s="27" t="s">
        <v>16</v>
      </c>
      <c r="B5" s="6" t="n">
        <f aca="false">SUMIF('Bank Statement '!D:D,A5,'Bank Statement '!F:F)+SUMIF('Bank Statement '!D:D,A5,'Bank Statement '!E:E)</f>
        <v>75000</v>
      </c>
      <c r="C5" s="6" t="n">
        <f aca="false">SUMIF('General Ledger'!E:E,A5, 'General Ledger'!F:F)</f>
        <v>75000</v>
      </c>
      <c r="D5" s="6" t="n">
        <f aca="false">B5-C5</f>
        <v>0</v>
      </c>
      <c r="E5" s="6" t="str">
        <f aca="false">IF(D5=0,"Matched","Exception")</f>
        <v>Matched</v>
      </c>
      <c r="F5" s="6" t="str">
        <f aca="false">IF(B5=0,"GL Only",IF(C5=0,"Bank Only",IF(B5&lt;&gt;C5,"Amount Mismatch","")))</f>
        <v/>
      </c>
      <c r="G5" s="6" t="str">
        <f aca="false">IFERROR(INDEX('Bank Statement '!C:C,MATCH(A5,'Bank Statement '!D:D,0)),IFERROR(INDEX('General Ledger'!D:D,MATCH(A5,'General Ledger'!E:E,0)),""))</f>
        <v>Customer Receipt</v>
      </c>
    </row>
    <row r="6" customFormat="false" ht="14.25" hidden="false" customHeight="false" outlineLevel="0" collapsed="false">
      <c r="A6" s="27" t="s">
        <v>19</v>
      </c>
      <c r="B6" s="6" t="n">
        <f aca="false">SUMIF('Bank Statement '!D:D,A6,'Bank Statement '!F:F)+SUMIF('Bank Statement '!D:D,A6,'Bank Statement '!E:E)</f>
        <v>8500</v>
      </c>
      <c r="C6" s="6" t="n">
        <f aca="false">SUMIF('General Ledger'!E:E,A6, 'General Ledger'!F:F)</f>
        <v>8500</v>
      </c>
      <c r="D6" s="6" t="n">
        <f aca="false">B6-C6</f>
        <v>0</v>
      </c>
      <c r="E6" s="6" t="str">
        <f aca="false">IF(D6=0,"Matched","Exception")</f>
        <v>Matched</v>
      </c>
      <c r="F6" s="6" t="str">
        <f aca="false">IF(B6=0,"GL Only",IF(C6=0,"Bank Only",IF(B6&lt;&gt;C6,"Amount Mismatch","")))</f>
        <v/>
      </c>
      <c r="G6" s="6" t="str">
        <f aca="false">IFERROR(INDEX('Bank Statement '!C:C,MATCH(A6,'Bank Statement '!D:D,0)),IFERROR(INDEX('General Ledger'!D:D,MATCH(A6,'General Ledger'!E:E,0)),""))</f>
        <v>Office Supplies</v>
      </c>
    </row>
    <row r="7" customFormat="false" ht="14.25" hidden="false" customHeight="false" outlineLevel="0" collapsed="false">
      <c r="A7" s="27" t="s">
        <v>21</v>
      </c>
      <c r="B7" s="6" t="n">
        <f aca="false">SUMIF('Bank Statement '!D:D,A7,'Bank Statement '!F:F)+SUMIF('Bank Statement '!D:D,A7,'Bank Statement '!E:E)</f>
        <v>42000</v>
      </c>
      <c r="C7" s="6" t="n">
        <f aca="false">SUMIF('General Ledger'!E:E,A7, 'General Ledger'!F:F)</f>
        <v>42000</v>
      </c>
      <c r="D7" s="6" t="n">
        <f aca="false">B7-C7</f>
        <v>0</v>
      </c>
      <c r="E7" s="6" t="str">
        <f aca="false">IF(D7=0,"Matched","Exception")</f>
        <v>Matched</v>
      </c>
      <c r="F7" s="6" t="str">
        <f aca="false">IF(B7=0,"GL Only",IF(C7=0,"Bank Only",IF(B7&lt;&gt;C7,"Amount Mismatch","")))</f>
        <v/>
      </c>
      <c r="G7" s="6" t="str">
        <f aca="false">IFERROR(INDEX('Bank Statement '!C:C,MATCH(A7,'Bank Statement '!D:D,0)),IFERROR(INDEX('General Ledger'!D:D,MATCH(A7,'General Ledger'!E:E,0)),""))</f>
        <v>Customer Receipt</v>
      </c>
    </row>
    <row r="8" customFormat="false" ht="14.25" hidden="false" customHeight="false" outlineLevel="0" collapsed="false">
      <c r="A8" s="6" t="s">
        <v>24</v>
      </c>
      <c r="B8" s="6" t="n">
        <f aca="false">SUMIF('Bank Statement '!D:D,A8,'Bank Statement '!F:F)+SUMIF('Bank Statement '!D:D,A8,'Bank Statement '!E:E)</f>
        <v>6500</v>
      </c>
      <c r="C8" s="6" t="n">
        <f aca="false">SUMIF('General Ledger'!E:E,A8, 'General Ledger'!F:F)</f>
        <v>6500</v>
      </c>
      <c r="D8" s="6" t="n">
        <f aca="false">B8-C8</f>
        <v>0</v>
      </c>
      <c r="E8" s="6" t="str">
        <f aca="false">IF(D8=0,"Matched","Exception")</f>
        <v>Matched</v>
      </c>
      <c r="F8" s="6" t="str">
        <f aca="false">IF(B8=0,"GL Only",IF(C8=0,"Bank Only",IF(B8&lt;&gt;C8,"Amount Mismatch","")))</f>
        <v/>
      </c>
      <c r="G8" s="6" t="str">
        <f aca="false">IFERROR(INDEX('Bank Statement '!C:C,MATCH(A8,'Bank Statement '!D:D,0)),IFERROR(INDEX('General Ledger'!D:D,MATCH(A8,'General Ledger'!E:E,0)),""))</f>
        <v>Utility Payment</v>
      </c>
    </row>
    <row r="9" customFormat="false" ht="14.25" hidden="false" customHeight="false" outlineLevel="0" collapsed="false">
      <c r="A9" s="6" t="s">
        <v>26</v>
      </c>
      <c r="B9" s="6" t="n">
        <f aca="false">SUMIF('Bank Statement '!D:D,A9,'Bank Statement '!F:F)+SUMIF('Bank Statement '!D:D,A9,'Bank Statement '!E:E)</f>
        <v>62000</v>
      </c>
      <c r="C9" s="6" t="n">
        <f aca="false">SUMIF('General Ledger'!E:E,A9, 'General Ledger'!F:F)</f>
        <v>60000</v>
      </c>
      <c r="D9" s="6" t="n">
        <f aca="false">B9-C9</f>
        <v>2000</v>
      </c>
      <c r="E9" s="6" t="str">
        <f aca="false">IF(D9=0,"Matched","Exception")</f>
        <v>Exception</v>
      </c>
      <c r="F9" s="6" t="str">
        <f aca="false">IF(B9=0,"GL Only",IF(C9=0,"Bank Only",IF(B9&lt;&gt;C9,"Amount Mismatch","")))</f>
        <v>Amount Mismatch</v>
      </c>
      <c r="G9" s="6" t="str">
        <f aca="false">IFERROR(INDEX('Bank Statement '!C:C,MATCH(A9,'Bank Statement '!D:D,0)),IFERROR(INDEX('General Ledger'!D:D,MATCH(A9,'General Ledger'!E:E,0)),""))</f>
        <v>Customer Receipt</v>
      </c>
    </row>
    <row r="10" customFormat="false" ht="14.25" hidden="false" customHeight="false" outlineLevel="0" collapsed="false">
      <c r="A10" s="6" t="s">
        <v>28</v>
      </c>
      <c r="B10" s="6" t="n">
        <f aca="false">SUMIF('Bank Statement '!D:D,A10,'Bank Statement '!F:F)+SUMIF('Bank Statement '!D:D,A10,'Bank Statement '!E:E)</f>
        <v>750</v>
      </c>
      <c r="C10" s="6" t="n">
        <f aca="false">SUMIF('General Ledger'!E:E,A10, 'General Ledger'!F:F)</f>
        <v>0</v>
      </c>
      <c r="D10" s="6" t="n">
        <f aca="false">B10-C10</f>
        <v>750</v>
      </c>
      <c r="E10" s="6" t="str">
        <f aca="false">IF(D10=0,"Matched","Exception")</f>
        <v>Exception</v>
      </c>
      <c r="F10" s="6" t="str">
        <f aca="false">IF(B10=0,"GL Only",IF(C10=0,"Bank Only",IF(B10&lt;&gt;C10,"Amount Mismatch","")))</f>
        <v>Bank Only</v>
      </c>
      <c r="G10" s="6" t="str">
        <f aca="false">IFERROR(INDEX('Bank Statement '!C:C,MATCH(A10,'Bank Statement '!D:D,0)),IFERROR(INDEX('General Ledger'!D:D,MATCH(A10,'General Ledger'!E:E,0)),""))</f>
        <v>Bank Charges</v>
      </c>
    </row>
    <row r="11" customFormat="false" ht="14.25" hidden="false" customHeight="false" outlineLevel="0" collapsed="false">
      <c r="A11" s="6" t="s">
        <v>31</v>
      </c>
      <c r="B11" s="6" t="n">
        <f aca="false">SUMIF('Bank Statement '!D:D,A11,'Bank Statement '!F:F)+SUMIF('Bank Statement '!D:D,A11,'Bank Statement '!E:E)</f>
        <v>12000</v>
      </c>
      <c r="C11" s="6" t="n">
        <f aca="false">SUMIF('General Ledger'!E:E,A11, 'General Ledger'!F:F)</f>
        <v>12000</v>
      </c>
      <c r="D11" s="6" t="n">
        <f aca="false">B11-C11</f>
        <v>0</v>
      </c>
      <c r="E11" s="6" t="str">
        <f aca="false">IF(D11=0,"Matched","Exception")</f>
        <v>Matched</v>
      </c>
      <c r="F11" s="6" t="str">
        <f aca="false">IF(B11=0,"GL Only",IF(C11=0,"Bank Only",IF(B11&lt;&gt;C11,"Amount Mismatch","")))</f>
        <v/>
      </c>
      <c r="G11" s="6" t="str">
        <f aca="false">IFERROR(INDEX('Bank Statement '!C:C,MATCH(A11,'Bank Statement '!D:D,0)),IFERROR(INDEX('General Ledger'!D:D,MATCH(A11,'General Ledger'!E:E,0)),""))</f>
        <v>Insurance Payment</v>
      </c>
    </row>
    <row r="12" customFormat="false" ht="14.25" hidden="false" customHeight="false" outlineLevel="0" collapsed="false">
      <c r="A12" s="6" t="s">
        <v>33</v>
      </c>
      <c r="B12" s="6" t="n">
        <f aca="false">SUMIF('Bank Statement '!D:D,A12,'Bank Statement '!F:F)+SUMIF('Bank Statement '!D:D,A12,'Bank Statement '!E:E)</f>
        <v>38000</v>
      </c>
      <c r="C12" s="6" t="n">
        <f aca="false">SUMIF('General Ledger'!E:E,A12, 'General Ledger'!F:F)</f>
        <v>38000</v>
      </c>
      <c r="D12" s="6" t="n">
        <f aca="false">B12-C12</f>
        <v>0</v>
      </c>
      <c r="E12" s="6" t="str">
        <f aca="false">IF(D12=0,"Matched","Exception")</f>
        <v>Matched</v>
      </c>
      <c r="F12" s="6" t="str">
        <f aca="false">IF(B12=0,"GL Only",IF(C12=0,"Bank Only",IF(B12&lt;&gt;C12,"Amount Mismatch","")))</f>
        <v/>
      </c>
      <c r="G12" s="6" t="str">
        <f aca="false">IFERROR(INDEX('Bank Statement '!C:C,MATCH(A12,'Bank Statement '!D:D,0)),IFERROR(INDEX('General Ledger'!D:D,MATCH(A12,'General Ledger'!E:E,0)),""))</f>
        <v>Customer Receipt</v>
      </c>
    </row>
    <row r="13" customFormat="false" ht="14.25" hidden="false" customHeight="false" outlineLevel="0" collapsed="false">
      <c r="A13" s="6" t="s">
        <v>36</v>
      </c>
      <c r="B13" s="6" t="n">
        <f aca="false">SUMIF('Bank Statement '!D:D,A13,'Bank Statement '!F:F)+SUMIF('Bank Statement '!D:D,A13,'Bank Statement '!E:E)</f>
        <v>15500</v>
      </c>
      <c r="C13" s="6" t="n">
        <f aca="false">SUMIF('General Ledger'!E:E,A13, 'General Ledger'!F:F)</f>
        <v>15500</v>
      </c>
      <c r="D13" s="6" t="n">
        <f aca="false">B13-C13</f>
        <v>0</v>
      </c>
      <c r="E13" s="6" t="str">
        <f aca="false">IF(D13=0,"Matched","Exception")</f>
        <v>Matched</v>
      </c>
      <c r="F13" s="6" t="str">
        <f aca="false">IF(B13=0,"GL Only",IF(C13=0,"Bank Only",IF(B13&lt;&gt;C13,"Amount Mismatch","")))</f>
        <v/>
      </c>
      <c r="G13" s="6" t="str">
        <f aca="false">IFERROR(INDEX('Bank Statement '!C:C,MATCH(A13,'Bank Statement '!D:D,0)),IFERROR(INDEX('General Ledger'!D:D,MATCH(A13,'General Ledger'!E:E,0)),""))</f>
        <v>Supplier Payment</v>
      </c>
    </row>
    <row r="14" customFormat="false" ht="14.25" hidden="false" customHeight="false" outlineLevel="0" collapsed="false">
      <c r="A14" s="6" t="s">
        <v>38</v>
      </c>
      <c r="B14" s="6" t="n">
        <f aca="false">SUMIF('Bank Statement '!D:D,A14,'Bank Statement '!F:F)+SUMIF('Bank Statement '!D:D,A14,'Bank Statement '!E:E)</f>
        <v>91000</v>
      </c>
      <c r="C14" s="6" t="n">
        <f aca="false">SUMIF('General Ledger'!E:E,A14, 'General Ledger'!F:F)</f>
        <v>91000</v>
      </c>
      <c r="D14" s="6" t="n">
        <f aca="false">B14-C14</f>
        <v>0</v>
      </c>
      <c r="E14" s="6" t="str">
        <f aca="false">IF(D14=0,"Matched","Exception")</f>
        <v>Matched</v>
      </c>
      <c r="F14" s="6" t="str">
        <f aca="false">IF(B14=0,"GL Only",IF(C14=0,"Bank Only",IF(B14&lt;&gt;C14,"Amount Mismatch","")))</f>
        <v/>
      </c>
      <c r="G14" s="6" t="str">
        <f aca="false">IFERROR(INDEX('Bank Statement '!C:C,MATCH(A14,'Bank Statement '!D:D,0)),IFERROR(INDEX('General Ledger'!D:D,MATCH(A14,'General Ledger'!E:E,0)),""))</f>
        <v>Customer Receipt</v>
      </c>
    </row>
    <row r="15" customFormat="false" ht="14.25" hidden="false" customHeight="false" outlineLevel="0" collapsed="false">
      <c r="A15" s="6" t="s">
        <v>41</v>
      </c>
      <c r="B15" s="6" t="n">
        <f aca="false">SUMIF('Bank Statement '!D:D,A15,'Bank Statement '!F:F)+SUMIF('Bank Statement '!D:D,A15,'Bank Statement '!E:E)</f>
        <v>28000</v>
      </c>
      <c r="C15" s="6" t="n">
        <f aca="false">SUMIF('General Ledger'!E:E,A15, 'General Ledger'!F:F)</f>
        <v>28000</v>
      </c>
      <c r="D15" s="6" t="n">
        <f aca="false">B15-C15</f>
        <v>0</v>
      </c>
      <c r="E15" s="6" t="str">
        <f aca="false">IF(D15=0,"Matched","Exception")</f>
        <v>Matched</v>
      </c>
      <c r="F15" s="6" t="str">
        <f aca="false">IF(B15=0,"GL Only",IF(C15=0,"Bank Only",IF(B15&lt;&gt;C15,"Amount Mismatch","")))</f>
        <v/>
      </c>
      <c r="G15" s="6" t="str">
        <f aca="false">IFERROR(INDEX('Bank Statement '!C:C,MATCH(A15,'Bank Statement '!D:D,0)),IFERROR(INDEX('General Ledger'!D:D,MATCH(A15,'General Ledger'!E:E,0)),""))</f>
        <v>Payroll Payment</v>
      </c>
    </row>
    <row r="16" customFormat="false" ht="14.25" hidden="false" customHeight="false" outlineLevel="0" collapsed="false">
      <c r="A16" s="6" t="s">
        <v>43</v>
      </c>
      <c r="B16" s="6" t="n">
        <f aca="false">SUMIF('Bank Statement '!D:D,A16,'Bank Statement '!F:F)+SUMIF('Bank Statement '!D:D,A16,'Bank Statement '!E:E)</f>
        <v>47000</v>
      </c>
      <c r="C16" s="6" t="n">
        <f aca="false">SUMIF('General Ledger'!E:E,A16, 'General Ledger'!F:F)</f>
        <v>47000</v>
      </c>
      <c r="D16" s="6" t="n">
        <f aca="false">B16-C16</f>
        <v>0</v>
      </c>
      <c r="E16" s="6" t="str">
        <f aca="false">IF(D16=0,"Matched","Exception")</f>
        <v>Matched</v>
      </c>
      <c r="F16" s="6" t="str">
        <f aca="false">IF(B16=0,"GL Only",IF(C16=0,"Bank Only",IF(B16&lt;&gt;C16,"Amount Mismatch","")))</f>
        <v/>
      </c>
      <c r="G16" s="6" t="str">
        <f aca="false">IFERROR(INDEX('Bank Statement '!C:C,MATCH(A16,'Bank Statement '!D:D,0)),IFERROR(INDEX('General Ledger'!D:D,MATCH(A16,'General Ledger'!E:E,0)),""))</f>
        <v>Customer Receipt</v>
      </c>
    </row>
    <row r="17" customFormat="false" ht="14.25" hidden="false" customHeight="false" outlineLevel="0" collapsed="false">
      <c r="A17" s="6" t="s">
        <v>70</v>
      </c>
      <c r="B17" s="6" t="n">
        <v>0</v>
      </c>
      <c r="C17" s="6" t="n">
        <v>10000</v>
      </c>
      <c r="D17" s="6" t="n">
        <f aca="false">B17-C17</f>
        <v>-10000</v>
      </c>
      <c r="E17" s="6" t="str">
        <f aca="false">IF(D17=0,"Matched","Exception")</f>
        <v>Exception</v>
      </c>
      <c r="F17" s="6" t="str">
        <f aca="false">IF(B17=0,"GL Only",IF(C17=0,"Bank Only",IF(B17&lt;&gt;C17,"Amount Mismatch","")))</f>
        <v>GL Only</v>
      </c>
      <c r="G17" s="6" t="str">
        <f aca="false">IFERROR(INDEX('Bank Statement '!C:C,MATCH(A17,'Bank Statement '!D:D,0)),IFERROR(INDEX('General Ledger'!D:D,MATCH(A17,'General Ledger'!E:E,0)),""))</f>
        <v>Consulting Payment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54"/>
    <col collapsed="false" customWidth="true" hidden="false" outlineLevel="0" max="2" min="2" style="28" width="13.63"/>
    <col collapsed="false" customWidth="true" hidden="false" outlineLevel="0" max="3" min="3" style="28" width="14.09"/>
    <col collapsed="false" customWidth="true" hidden="false" outlineLevel="0" max="4" min="4" style="28" width="15.09"/>
    <col collapsed="false" customWidth="true" hidden="false" outlineLevel="0" max="5" min="5" style="0" width="16"/>
    <col collapsed="false" customWidth="true" hidden="false" outlineLevel="0" max="6" min="6" style="0" width="18.09"/>
    <col collapsed="false" customWidth="true" hidden="false" outlineLevel="0" max="7" min="7" style="29" width="60.27"/>
  </cols>
  <sheetData>
    <row r="1" customFormat="false" ht="14.25" hidden="false" customHeight="false" outlineLevel="0" collapsed="false">
      <c r="A1" s="26" t="s">
        <v>46</v>
      </c>
      <c r="B1" s="30" t="s">
        <v>72</v>
      </c>
      <c r="C1" s="30" t="s">
        <v>80</v>
      </c>
      <c r="D1" s="30" t="s">
        <v>84</v>
      </c>
      <c r="E1" s="26" t="s">
        <v>75</v>
      </c>
      <c r="F1" s="26" t="s">
        <v>2</v>
      </c>
      <c r="G1" s="31" t="s">
        <v>85</v>
      </c>
    </row>
    <row r="2" customFormat="false" ht="36" hidden="false" customHeight="true" outlineLevel="0" collapsed="false">
      <c r="A2" s="6" t="s">
        <v>14</v>
      </c>
      <c r="B2" s="32" t="n">
        <f aca="false">INDEX(Reconciliation!B:B,MATCH(A2,Reconciliation!A:A,0))</f>
        <v>500</v>
      </c>
      <c r="C2" s="32" t="n">
        <f aca="false">INDEX(Reconciliation!C:C,MATCH(A2,Reconciliation!A:A,0))</f>
        <v>0</v>
      </c>
      <c r="D2" s="32" t="n">
        <f aca="false">INDEX(Reconciliation!D:D,MATCH(A2,Reconciliation!A:A,0))</f>
        <v>500</v>
      </c>
      <c r="E2" s="6" t="str">
        <f aca="false">INDEX(Reconciliation!F:F,MATCH(A2,Reconciliation!A:A,0))</f>
        <v>Bank Only</v>
      </c>
      <c r="F2" s="6" t="str">
        <f aca="false">INDEX(Reconciliation!G:G,MATCH(A2,Reconciliation!A:A,0))</f>
        <v>Bank Charges</v>
      </c>
      <c r="G2" s="33" t="s">
        <v>86</v>
      </c>
    </row>
    <row r="3" customFormat="false" ht="39.75" hidden="false" customHeight="true" outlineLevel="0" collapsed="false">
      <c r="A3" s="6" t="s">
        <v>26</v>
      </c>
      <c r="B3" s="32" t="n">
        <f aca="false">INDEX(Reconciliation!B:B,MATCH(A3,Reconciliation!A:A,0))</f>
        <v>62000</v>
      </c>
      <c r="C3" s="32" t="n">
        <f aca="false">INDEX(Reconciliation!C:C,MATCH(A3,Reconciliation!A:A,0))</f>
        <v>60000</v>
      </c>
      <c r="D3" s="32" t="n">
        <f aca="false">INDEX(Reconciliation!D:D,MATCH(A3,Reconciliation!A:A,0))</f>
        <v>2000</v>
      </c>
      <c r="E3" s="6" t="str">
        <f aca="false">INDEX(Reconciliation!F:F,MATCH(A3,Reconciliation!A:A,0))</f>
        <v>Amount Mismatch</v>
      </c>
      <c r="F3" s="6" t="str">
        <f aca="false">INDEX(Reconciliation!G:G,MATCH(A3,Reconciliation!A:A,0))</f>
        <v>Customer Receipt</v>
      </c>
      <c r="G3" s="33" t="s">
        <v>87</v>
      </c>
    </row>
    <row r="4" customFormat="false" ht="39" hidden="false" customHeight="true" outlineLevel="0" collapsed="false">
      <c r="A4" s="6" t="s">
        <v>28</v>
      </c>
      <c r="B4" s="32" t="n">
        <f aca="false">INDEX(Reconciliation!B:B,MATCH(A4,Reconciliation!A:A,0))</f>
        <v>750</v>
      </c>
      <c r="C4" s="32" t="n">
        <f aca="false">INDEX(Reconciliation!C:C,MATCH(A4,Reconciliation!A:A,0))</f>
        <v>0</v>
      </c>
      <c r="D4" s="32" t="n">
        <f aca="false">INDEX(Reconciliation!D:D,MATCH(A4,Reconciliation!A:A,0))</f>
        <v>750</v>
      </c>
      <c r="E4" s="6" t="str">
        <f aca="false">INDEX(Reconciliation!F:F,MATCH(A4,Reconciliation!A:A,0))</f>
        <v>Bank Only</v>
      </c>
      <c r="F4" s="6" t="str">
        <f aca="false">INDEX(Reconciliation!G:G,MATCH(A4,Reconciliation!A:A,0))</f>
        <v>Bank Charges</v>
      </c>
      <c r="G4" s="33" t="s">
        <v>88</v>
      </c>
    </row>
    <row r="5" customFormat="false" ht="49.5" hidden="false" customHeight="true" outlineLevel="0" collapsed="false">
      <c r="A5" s="6" t="s">
        <v>70</v>
      </c>
      <c r="B5" s="32" t="n">
        <f aca="false">INDEX(Reconciliation!B:B,MATCH(A5,Reconciliation!A:A,0))</f>
        <v>0</v>
      </c>
      <c r="C5" s="32" t="n">
        <f aca="false">INDEX(Reconciliation!C:C,MATCH(A5,Reconciliation!A:A,0))</f>
        <v>10000</v>
      </c>
      <c r="D5" s="32" t="n">
        <f aca="false">INDEX(Reconciliation!D:D,MATCH(A5,Reconciliation!A:A,0))</f>
        <v>-10000</v>
      </c>
      <c r="E5" s="6" t="str">
        <f aca="false">INDEX(Reconciliation!F:F,MATCH(A5,Reconciliation!A:A,0))</f>
        <v>GL Only</v>
      </c>
      <c r="F5" s="6" t="str">
        <f aca="false">INDEX(Reconciliation!G:G,MATCH(A5,Reconciliation!A:A,0))</f>
        <v>Consulting Payment</v>
      </c>
      <c r="G5" s="33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5.09"/>
    <col collapsed="false" customWidth="true" hidden="false" outlineLevel="0" max="2" min="2" style="0" width="80.54"/>
  </cols>
  <sheetData>
    <row r="1" customFormat="false" ht="14.25" hidden="false" customHeight="false" outlineLevel="0" collapsed="false">
      <c r="A1" s="34" t="s">
        <v>90</v>
      </c>
    </row>
    <row r="3" customFormat="false" ht="14.25" hidden="false" customHeight="false" outlineLevel="0" collapsed="false">
      <c r="A3" s="34" t="s">
        <v>91</v>
      </c>
      <c r="B3" s="18" t="n">
        <f aca="false">COUNTA(Reconciliation!A2:A17)</f>
        <v>16</v>
      </c>
    </row>
    <row r="4" customFormat="false" ht="14.25" hidden="false" customHeight="false" outlineLevel="0" collapsed="false">
      <c r="A4" s="34" t="s">
        <v>92</v>
      </c>
      <c r="B4" s="18" t="n">
        <f aca="false">COUNTIF(Reconciliation!D2:D17,0)</f>
        <v>12</v>
      </c>
    </row>
    <row r="5" customFormat="false" ht="14.25" hidden="false" customHeight="false" outlineLevel="0" collapsed="false">
      <c r="A5" s="34" t="s">
        <v>93</v>
      </c>
      <c r="B5" s="18" t="n">
        <f aca="false">COUNTIF(Reconciliation!D2:D17,"&lt;&gt;0")</f>
        <v>4</v>
      </c>
    </row>
    <row r="6" customFormat="false" ht="14.25" hidden="false" customHeight="false" outlineLevel="0" collapsed="false">
      <c r="A6" s="34" t="s">
        <v>94</v>
      </c>
      <c r="B6" s="35" t="n">
        <f aca="false">B4/B3</f>
        <v>0.75</v>
      </c>
    </row>
    <row r="7" customFormat="false" ht="14.25" hidden="false" customHeight="false" outlineLevel="0" collapsed="false">
      <c r="A7" s="34" t="s">
        <v>95</v>
      </c>
      <c r="B7" s="18" t="n">
        <f aca="false">COUNTIFS(Reconciliation!D2:D17,"&gt;0",Reconciliation!C2:C17,0)</f>
        <v>2</v>
      </c>
    </row>
    <row r="8" customFormat="false" ht="14.25" hidden="false" customHeight="false" outlineLevel="0" collapsed="false">
      <c r="A8" s="34" t="s">
        <v>96</v>
      </c>
      <c r="B8" s="18" t="n">
        <f aca="false">COUNTIFS(Reconciliation!D2:D17,"&lt;0",Reconciliation!B2:B17,0)</f>
        <v>1</v>
      </c>
    </row>
    <row r="9" customFormat="false" ht="14.25" hidden="false" customHeight="false" outlineLevel="0" collapsed="false">
      <c r="A9" s="34" t="s">
        <v>97</v>
      </c>
      <c r="B9" s="18" t="n">
        <f aca="false">COUNTIFS(Reconciliation!D2:D17,"&lt;&gt;0",Reconciliation!B2:B17,"&gt;0",Reconciliation!C2:C17,"&gt;0")</f>
        <v>1</v>
      </c>
    </row>
    <row r="10" customFormat="false" ht="14.25" hidden="false" customHeight="false" outlineLevel="0" collapsed="false">
      <c r="A10" s="34" t="s">
        <v>98</v>
      </c>
      <c r="B10" s="36" t="n">
        <f aca="false">SUM(Exceptions!D2:D5)</f>
        <v>-6750</v>
      </c>
    </row>
    <row r="11" customFormat="false" ht="14.25" hidden="false" customHeight="false" outlineLevel="0" collapsed="false">
      <c r="A11" s="34" t="s">
        <v>99</v>
      </c>
      <c r="B11" s="36" t="n">
        <f aca="false">SUMPRODUCT(ABS(Exceptions!D2:D5))</f>
        <v>13250</v>
      </c>
    </row>
    <row r="12" customFormat="false" ht="62.25" hidden="false" customHeight="true" outlineLevel="0" collapsed="false">
      <c r="A12" s="34" t="s">
        <v>100</v>
      </c>
      <c r="B12" s="29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2026-09-08T17:48:03Z</dcterms:created>
  <dc:creator>Gayathri AMITKANADE</dc:creator>
  <dc:description/>
  <dc:language>en-US</dc:language>
  <cp:lastModifiedBy>Gayathri AMITKANADE</cp:lastModifiedBy>
  <dcterms:modified xsi:type="dcterms:W3CDTF">2026-09-10T01:26:06Z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